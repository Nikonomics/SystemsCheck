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comments1.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https://cascadiahcdirectory.sharepoint.com/sites/ColumbiaHCResource/brookfield/Shared Documents/KEV Scorecard/"/>
    </mc:Choice>
  </mc:AlternateContent>
  <xr:revisionPtr revIDLastSave="245" documentId="13_ncr:1_{079C113A-7642-492E-80D8-4DB8612A8C8D}" xr6:coauthVersionLast="47" xr6:coauthVersionMax="47" xr10:uidLastSave="{9CDE5CCC-24A7-4D0C-9970-6D6EBED87E96}"/>
  <bookViews>
    <workbookView xWindow="-108" yWindow="-108" windowWidth="23256" windowHeight="12456" xr2:uid="{0506BA6D-EC2D-4837-8A64-BA882F677CE5}"/>
  </bookViews>
  <sheets>
    <sheet name="Cover Sheet" sheetId="3" r:id="rId1"/>
    <sheet name="Abuse &amp; Grievances" sheetId="2" r:id="rId2"/>
    <sheet name="Accidents &amp; Incidents" sheetId="4" r:id="rId3"/>
    <sheet name="Infection Prevention &amp; Control" sheetId="5" r:id="rId4"/>
    <sheet name="Skin Integrity &amp; Wounds" sheetId="6" r:id="rId5"/>
    <sheet name="Data" sheetId="7" state="hidden" r:id="rId6"/>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44" i="6" l="1"/>
  <c r="I42" i="6"/>
  <c r="I40" i="6"/>
  <c r="I38" i="6"/>
  <c r="I33" i="6"/>
  <c r="I31" i="6"/>
  <c r="I29" i="6"/>
  <c r="I27" i="6"/>
  <c r="I25" i="6"/>
  <c r="I23" i="6"/>
  <c r="I21" i="6"/>
  <c r="I19" i="6"/>
  <c r="I17" i="6"/>
  <c r="I15" i="6"/>
  <c r="I13" i="6"/>
  <c r="I11" i="6"/>
  <c r="I9" i="6"/>
  <c r="I36" i="5"/>
  <c r="I32" i="5"/>
  <c r="I30" i="5"/>
  <c r="I28" i="5"/>
  <c r="I26" i="5"/>
  <c r="I24" i="5"/>
  <c r="I22" i="5"/>
  <c r="I20" i="5"/>
  <c r="I17" i="5"/>
  <c r="I15" i="5"/>
  <c r="I13" i="5"/>
  <c r="I11" i="5"/>
  <c r="I9" i="5"/>
  <c r="I19" i="4"/>
  <c r="I17" i="4"/>
  <c r="I15" i="4"/>
  <c r="I13" i="4"/>
  <c r="I11" i="4"/>
  <c r="I9" i="4"/>
  <c r="I17" i="2"/>
  <c r="I15" i="2"/>
  <c r="I13" i="2"/>
  <c r="I11" i="2"/>
  <c r="I9" i="2"/>
  <c r="C12" i="3"/>
  <c r="C11" i="3"/>
  <c r="C10" i="3"/>
  <c r="C9" i="3"/>
  <c r="E35" i="6"/>
  <c r="E34" i="5"/>
  <c r="E19" i="2"/>
  <c r="C8" i="3"/>
  <c r="E21" i="4"/>
  <c r="I35" i="6" l="1"/>
  <c r="D11" i="3" s="1"/>
  <c r="E11" i="3" s="1"/>
  <c r="I34" i="5"/>
  <c r="D10" i="3" s="1"/>
  <c r="E10" i="3" s="1"/>
  <c r="I21" i="4"/>
  <c r="D9" i="3" s="1"/>
  <c r="E9" i="3" s="1"/>
  <c r="I19" i="2"/>
  <c r="D8" i="3" s="1"/>
  <c r="D12" i="3" l="1"/>
  <c r="E12" i="3" s="1"/>
  <c r="C13" i="3" s="1"/>
  <c r="E8" i="3"/>
</calcChain>
</file>

<file path=xl/comments1.xml><?xml version="1.0" encoding="utf-8"?>
<comments xmlns="http://schemas.openxmlformats.org/spreadsheetml/2006/main" xmlns:mc="http://schemas.openxmlformats.org/markup-compatibility/2006" xmlns:xr="http://schemas.microsoft.com/office/spreadsheetml/2014/revision" mc:Ignorable="xr">
  <authors>
    <author>Erin Kelly</author>
  </authors>
  <commentList>
    <comment ref="K43" authorId="0" shapeId="0" xr:uid="{6164C5F7-D0DA-4EAB-8A4F-77E690FA5C13}">
      <text>
        <r>
          <rPr>
            <b/>
            <sz val="9"/>
            <color indexed="81"/>
            <rFont val="Tahoma"/>
            <family val="2"/>
          </rPr>
          <t>Erin Kelly:</t>
        </r>
        <r>
          <rPr>
            <sz val="9"/>
            <color indexed="81"/>
            <rFont val="Tahoma"/>
            <family val="2"/>
          </rPr>
          <t xml:space="preserve">
SNF and a RL (ALF/IL) at the same address and legal name.</t>
        </r>
      </text>
    </comment>
  </commentList>
</comments>
</file>

<file path=xl/sharedStrings.xml><?xml version="1.0" encoding="utf-8"?>
<sst xmlns="http://schemas.openxmlformats.org/spreadsheetml/2006/main" count="473" uniqueCount="318">
  <si>
    <t>KEV Score Cards Review</t>
  </si>
  <si>
    <t>Facility Name:</t>
  </si>
  <si>
    <t>Brookfield</t>
  </si>
  <si>
    <t>Review Period:</t>
  </si>
  <si>
    <t xml:space="preserve">October 2025 </t>
  </si>
  <si>
    <t>Date of Completion:</t>
  </si>
  <si>
    <t>Audit Completed By:</t>
  </si>
  <si>
    <t>AA &amp; LN</t>
  </si>
  <si>
    <t>Quality Area</t>
  </si>
  <si>
    <t>Total Possible Score</t>
  </si>
  <si>
    <t>Total Met Score</t>
  </si>
  <si>
    <t>Score</t>
  </si>
  <si>
    <t>Abuse &amp; Grievances</t>
  </si>
  <si>
    <t>Accidents &amp; Incidents</t>
  </si>
  <si>
    <t>Infection Prevention &amp; Control</t>
  </si>
  <si>
    <t>Skin Integrity &amp; Wounds</t>
  </si>
  <si>
    <t>Total Quality Review Score</t>
  </si>
  <si>
    <t>Overall Score</t>
  </si>
  <si>
    <t>Note: This document is prepared for Quality Assurance and/or Peer Review and is privileged and confidential. It is protected from disclosure under both federal and state regulations related to Quality Assurance and Peer Review. This document is not to be shared, forwarded, disclosed or otherwise disseminated without explicit permission from the compliance department.</t>
  </si>
  <si>
    <t>Monthly Score Card Summary</t>
  </si>
  <si>
    <t>*Please copy and paste the % score from each category above into the cooresponding box below.</t>
  </si>
  <si>
    <t>Date:</t>
  </si>
  <si>
    <t>Reviewer:</t>
  </si>
  <si>
    <t>L Norton</t>
  </si>
  <si>
    <r>
      <t xml:space="preserve">Key Element Validation:                 </t>
    </r>
    <r>
      <rPr>
        <b/>
        <i/>
        <sz val="14"/>
        <color rgb="FF000000"/>
        <rFont val="Arial Narrow"/>
        <family val="2"/>
      </rPr>
      <t>Abuse &amp; Grievances</t>
    </r>
  </si>
  <si>
    <t>Resident Name:</t>
  </si>
  <si>
    <t>Resident Selection:</t>
  </si>
  <si>
    <t>Select One:</t>
  </si>
  <si>
    <t>Abuse Type:</t>
  </si>
  <si>
    <t>Incident Description</t>
  </si>
  <si>
    <t>Score Key:                                                                 Met = 4 or 3 | Not Met = 0 | N/A</t>
  </si>
  <si>
    <t>Max Score</t>
  </si>
  <si>
    <r>
      <t xml:space="preserve">Record Review Directions: </t>
    </r>
    <r>
      <rPr>
        <sz val="11"/>
        <color rgb="FF000000"/>
        <rFont val="Arial Narrow"/>
        <family val="2"/>
      </rPr>
      <t>Provide comments in "Comments" box and select most appropriate score using drop downs.</t>
    </r>
    <r>
      <rPr>
        <sz val="12"/>
        <color rgb="FF000000"/>
        <rFont val="Arial Narrow"/>
        <family val="2"/>
      </rPr>
      <t xml:space="preserve"> If not applicable, select "N/A".</t>
    </r>
  </si>
  <si>
    <t>Total Earned Score</t>
  </si>
  <si>
    <r>
      <rPr>
        <b/>
        <sz val="10"/>
        <color rgb="FF000000"/>
        <rFont val="Arial Narrow"/>
        <family val="2"/>
      </rPr>
      <t>1)</t>
    </r>
    <r>
      <rPr>
        <sz val="10"/>
        <color rgb="FF000000"/>
        <rFont val="Arial Narrow"/>
        <family val="2"/>
      </rPr>
      <t xml:space="preserve"> Since your last review, have there been any grievances that met the potential for abuse? Were these reported to the clinical resource and the state as needed? Check the log for policy adherence and satisfaction with grievance resolutions. </t>
    </r>
  </si>
  <si>
    <t>1) Comments:</t>
  </si>
  <si>
    <r>
      <rPr>
        <b/>
        <sz val="10"/>
        <color rgb="FF000000"/>
        <rFont val="Arial Narrow"/>
        <family val="2"/>
      </rPr>
      <t>2)</t>
    </r>
    <r>
      <rPr>
        <sz val="10"/>
        <color rgb="FF000000"/>
        <rFont val="Arial Narrow"/>
        <family val="2"/>
      </rPr>
      <t xml:space="preserve"> Review of the last months </t>
    </r>
    <r>
      <rPr>
        <b/>
        <sz val="10"/>
        <color rgb="FF000000"/>
        <rFont val="Arial Narrow"/>
        <family val="2"/>
      </rPr>
      <t>Resident Council Minutes</t>
    </r>
    <r>
      <rPr>
        <sz val="10"/>
        <color rgb="FF000000"/>
        <rFont val="Arial Narrow"/>
        <family val="2"/>
      </rPr>
      <t>, were all listings reported to the state that meet potiential criteria for abuse?</t>
    </r>
  </si>
  <si>
    <t>2) Comments:</t>
  </si>
  <si>
    <r>
      <t>3)</t>
    </r>
    <r>
      <rPr>
        <sz val="10"/>
        <color rgb="FF000000"/>
        <rFont val="Arial Narrow"/>
        <family val="2"/>
      </rPr>
      <t xml:space="preserve"> After review of </t>
    </r>
    <r>
      <rPr>
        <b/>
        <sz val="10"/>
        <color rgb="FF000000"/>
        <rFont val="Arial Narrow"/>
        <family val="2"/>
      </rPr>
      <t>Risk Management Log</t>
    </r>
    <r>
      <rPr>
        <sz val="10"/>
        <color rgb="FF000000"/>
        <rFont val="Arial Narrow"/>
        <family val="2"/>
      </rPr>
      <t>, were all listings reported to the state that meet potiential criteria for abuse? Were applicable areas reviewed to include CPR codes, medication errors, fractures, head injuries, avoidable pressure areas, systemic/repeat patterns of care delivery failure (grooming, dehydration, MASD, malnourishment)? Was a determination made to validate, not validated, or leave as inconclusive?</t>
    </r>
    <r>
      <rPr>
        <b/>
        <sz val="10"/>
        <color rgb="FF000000"/>
        <rFont val="Arial Narrow"/>
        <family val="2"/>
      </rPr>
      <t xml:space="preserve">   Review state reportables to ensure they followed policy. (Timely, thoroughness, resident protected appropriately, proper notifications, prevention, appropriate actions taken, etc)</t>
    </r>
  </si>
  <si>
    <t>3) Comments:</t>
  </si>
  <si>
    <r>
      <t xml:space="preserve">4) </t>
    </r>
    <r>
      <rPr>
        <sz val="10"/>
        <color rgb="FF000000"/>
        <rFont val="Arial Narrow"/>
        <family val="2"/>
      </rPr>
      <t>Observe to ensure narc counts done correctly and books are signed appropriately.  Does the facility complete drug reconciliation reviews from pharmacy narcotic delivery notification?</t>
    </r>
    <r>
      <rPr>
        <b/>
        <sz val="10"/>
        <color rgb="FF000000"/>
        <rFont val="Arial Narrow"/>
        <family val="2"/>
      </rPr>
      <t xml:space="preserve">  If issue identified, report to CEO and open investigation.</t>
    </r>
  </si>
  <si>
    <t>4) Comments:</t>
  </si>
  <si>
    <r>
      <t>5)</t>
    </r>
    <r>
      <rPr>
        <sz val="10"/>
        <color rgb="FF000000"/>
        <rFont val="Arial Narrow"/>
        <family val="2"/>
      </rPr>
      <t xml:space="preserve"> Are abuse and significant events tracked and trended through </t>
    </r>
    <r>
      <rPr>
        <b/>
        <sz val="10"/>
        <color rgb="FF000000"/>
        <rFont val="Arial Narrow"/>
        <family val="2"/>
      </rPr>
      <t>QAPI</t>
    </r>
    <r>
      <rPr>
        <sz val="10"/>
        <color rgb="FF000000"/>
        <rFont val="Arial Narrow"/>
        <family val="2"/>
      </rPr>
      <t>?</t>
    </r>
  </si>
  <si>
    <t>5) Comments:</t>
  </si>
  <si>
    <t>Abuse &amp; Grievances Total Possible Points:</t>
  </si>
  <si>
    <t>Total Score:</t>
  </si>
  <si>
    <t>ONLY PROCEED TO THIS SECTION IF SYSTEMS FOUND TO BE FAILING</t>
  </si>
  <si>
    <t>Employee Name:</t>
  </si>
  <si>
    <t>Is Follow-Up Needed? Yes/No</t>
  </si>
  <si>
    <t>Title:</t>
  </si>
  <si>
    <t>Staff Interviews:</t>
  </si>
  <si>
    <r>
      <t xml:space="preserve">Directions: </t>
    </r>
    <r>
      <rPr>
        <sz val="12"/>
        <color rgb="FF000000"/>
        <rFont val="Arial Narrow"/>
        <family val="2"/>
      </rPr>
      <t>Interview three staff members, documenting answers and noting if follow-up education is needed.</t>
    </r>
  </si>
  <si>
    <r>
      <t xml:space="preserve">1) </t>
    </r>
    <r>
      <rPr>
        <sz val="10"/>
        <color rgb="FF000000"/>
        <rFont val="Arial Narrow"/>
        <family val="2"/>
      </rPr>
      <t>Who is the facility abuse prevention coordinator?</t>
    </r>
    <r>
      <rPr>
        <b/>
        <sz val="10"/>
        <color rgb="FF000000"/>
        <rFont val="Arial Narrow"/>
        <family val="2"/>
      </rPr>
      <t xml:space="preserve"> </t>
    </r>
    <r>
      <rPr>
        <sz val="10"/>
        <color rgb="FF000000"/>
        <rFont val="Arial Narrow"/>
        <family val="2"/>
      </rPr>
      <t>Who are mandatory reporters?</t>
    </r>
  </si>
  <si>
    <r>
      <t xml:space="preserve">2) </t>
    </r>
    <r>
      <rPr>
        <sz val="10"/>
        <color rgb="FF000000"/>
        <rFont val="Arial Narrow"/>
        <family val="2"/>
      </rPr>
      <t>Who can be the perpetrator of abuse? What do you do if you hear of or see abuse?</t>
    </r>
  </si>
  <si>
    <r>
      <t xml:space="preserve">3) </t>
    </r>
    <r>
      <rPr>
        <sz val="10"/>
        <color rgb="FF000000"/>
        <rFont val="Arial Narrow"/>
        <family val="2"/>
      </rPr>
      <t>List some signs of potentential abuse?</t>
    </r>
  </si>
  <si>
    <r>
      <t xml:space="preserve">4) </t>
    </r>
    <r>
      <rPr>
        <sz val="10"/>
        <color rgb="FF000000"/>
        <rFont val="Arial Narrow"/>
        <family val="2"/>
      </rPr>
      <t>What is your role in the management of aggressive residents to include verbal altercations, bullying, intrusive wandering? Should you document potential behavioral conflicts where you intervened, and no negative outcome was immediately evident?</t>
    </r>
  </si>
  <si>
    <r>
      <t xml:space="preserve">5) </t>
    </r>
    <r>
      <rPr>
        <sz val="10"/>
        <color rgb="FF000000"/>
        <rFont val="Arial Narrow"/>
        <family val="2"/>
      </rPr>
      <t>Use a case scenerio for abuse to determine if staff respond appropriately.</t>
    </r>
  </si>
  <si>
    <r>
      <t xml:space="preserve">Key Element Validation:                  </t>
    </r>
    <r>
      <rPr>
        <b/>
        <i/>
        <sz val="14"/>
        <color rgb="FF000000"/>
        <rFont val="Arial Narrow"/>
        <family val="2"/>
      </rPr>
      <t>Accidents &amp; Incidents</t>
    </r>
  </si>
  <si>
    <t>Event Type:</t>
  </si>
  <si>
    <r>
      <t>1)</t>
    </r>
    <r>
      <rPr>
        <sz val="10"/>
        <color rgb="FF000000"/>
        <rFont val="Arial Narrow"/>
        <family val="2"/>
      </rPr>
      <t xml:space="preserve"> Was</t>
    </r>
    <r>
      <rPr>
        <b/>
        <sz val="10"/>
        <color rgb="FF000000"/>
        <rFont val="Arial Narrow"/>
        <family val="2"/>
      </rPr>
      <t xml:space="preserve"> event trackin</t>
    </r>
    <r>
      <rPr>
        <sz val="10"/>
        <color rgb="FF000000"/>
        <rFont val="Arial Narrow"/>
        <family val="2"/>
      </rPr>
      <t>g managed? Were applicable areas reviewed to include immediate log of incident (WA/OR), entered into risk mgmt, reported if indicated, completed within 5 working days?</t>
    </r>
  </si>
  <si>
    <r>
      <t>2)</t>
    </r>
    <r>
      <rPr>
        <sz val="10"/>
        <color rgb="FF000000"/>
        <rFont val="Arial Narrow"/>
        <family val="2"/>
      </rPr>
      <t xml:space="preserve"> Was</t>
    </r>
    <r>
      <rPr>
        <b/>
        <sz val="10"/>
        <color rgb="FF000000"/>
        <rFont val="Arial Narrow"/>
        <family val="2"/>
      </rPr>
      <t xml:space="preserve"> risk anticipated</t>
    </r>
    <r>
      <rPr>
        <sz val="10"/>
        <color rgb="FF000000"/>
        <rFont val="Arial Narrow"/>
        <family val="2"/>
      </rPr>
      <t>? Was the care plan implemented prior to the incident? Were applicable areas reviewed to include MAHC-10 eval, smoking eval, wander risk, 48-hour care plan addresses risk and safety, type of supervision determined, plan is effective for BIMs score, behavioral impact is reviewed?</t>
    </r>
  </si>
  <si>
    <r>
      <t xml:space="preserve">3) </t>
    </r>
    <r>
      <rPr>
        <u/>
        <sz val="10"/>
        <color rgb="FF000000"/>
        <rFont val="Arial Narrow"/>
        <family val="2"/>
      </rPr>
      <t>Was policy followed post A/I occurance</t>
    </r>
    <r>
      <rPr>
        <sz val="10"/>
        <color rgb="FF000000"/>
        <rFont val="Arial Narrow"/>
        <family val="2"/>
      </rPr>
      <t xml:space="preserve"> including but not limited to (if applicable): immediate assess/post fall eval, tx orders, applicable evals, alert charting, appropriate notifications, thorough clinical review, IDT review, thorough investigation, RCA, Care Plan update, appropriate referrals made, safety device audits as applicable, monitoring started and documented and review of conflicting data?</t>
    </r>
  </si>
  <si>
    <r>
      <t xml:space="preserve">4) </t>
    </r>
    <r>
      <rPr>
        <sz val="10"/>
        <color rgb="FF000000"/>
        <rFont val="Arial Narrow"/>
        <family val="2"/>
      </rPr>
      <t xml:space="preserve">Does weekly </t>
    </r>
    <r>
      <rPr>
        <b/>
        <sz val="10"/>
        <color rgb="FF000000"/>
        <rFont val="Arial Narrow"/>
        <family val="2"/>
      </rPr>
      <t>oversight committee</t>
    </r>
    <r>
      <rPr>
        <sz val="10"/>
        <color rgb="FF000000"/>
        <rFont val="Arial Narrow"/>
        <family val="2"/>
      </rPr>
      <t xml:space="preserve"> show evidence of IDT review 1st business day post fall? Feasible RCA was used as the base for care plan updates? Referrals made as indicated? Review of fall risk report for new residents, residents w/change of condition, new falls, repeat falls for fall prevention plans/opportunities?</t>
    </r>
  </si>
  <si>
    <r>
      <t>5)</t>
    </r>
    <r>
      <rPr>
        <sz val="10"/>
        <color rgb="FF000000"/>
        <rFont val="Arial Narrow"/>
        <family val="2"/>
      </rPr>
      <t xml:space="preserve"> Observe residents in the </t>
    </r>
    <r>
      <rPr>
        <b/>
        <sz val="10"/>
        <color rgb="FF000000"/>
        <rFont val="Arial Narrow"/>
        <family val="2"/>
      </rPr>
      <t>smoking</t>
    </r>
    <r>
      <rPr>
        <sz val="10"/>
        <color rgb="FF000000"/>
        <rFont val="Arial Narrow"/>
        <family val="2"/>
      </rPr>
      <t xml:space="preserve"> area, as well as on the front sidewalk. Is a smoking eval current? Is there oxygen within 100 feet? Do residents hold their cigs/devices safely, extinquish properly, wear a safety apron if indicated, have burns in clothing? Where is smoking paraphenalia stored? Does the resident take items back to their room?</t>
    </r>
  </si>
  <si>
    <r>
      <rPr>
        <b/>
        <sz val="10"/>
        <color rgb="FF000000"/>
        <rFont val="Arial Narrow"/>
        <family val="2"/>
      </rPr>
      <t>6)</t>
    </r>
    <r>
      <rPr>
        <sz val="10"/>
        <color rgb="FF000000"/>
        <rFont val="Arial Narrow"/>
        <family val="2"/>
      </rPr>
      <t xml:space="preserve"> For observed </t>
    </r>
    <r>
      <rPr>
        <b/>
        <sz val="10"/>
        <color rgb="FF000000"/>
        <rFont val="Arial Narrow"/>
        <family val="2"/>
      </rPr>
      <t>wandering/exit seeking</t>
    </r>
    <r>
      <rPr>
        <sz val="10"/>
        <color rgb="FF000000"/>
        <rFont val="Arial Narrow"/>
        <family val="2"/>
      </rPr>
      <t xml:space="preserve"> residents, how do staff supervise/respond to a resident with exit seeking, rummaging, wandering behaviors? Are care plan interventions implemented consistently? Are they effective?  Are elopment drills being performed as indicated?</t>
    </r>
  </si>
  <si>
    <t>6) Comments:</t>
  </si>
  <si>
    <t>Accidents &amp; Incidents Total Possible Points:</t>
  </si>
  <si>
    <r>
      <t xml:space="preserve">1) </t>
    </r>
    <r>
      <rPr>
        <sz val="10"/>
        <color rgb="FF000000"/>
        <rFont val="Arial Narrow"/>
        <family val="2"/>
      </rPr>
      <t>How do you know what interventions or assistance is needed for each resident?</t>
    </r>
  </si>
  <si>
    <r>
      <t xml:space="preserve">2) </t>
    </r>
    <r>
      <rPr>
        <sz val="10"/>
        <color rgb="FF000000"/>
        <rFont val="Arial Narrow"/>
        <family val="2"/>
      </rPr>
      <t>How do you know if there are current changes to the plan of care?</t>
    </r>
  </si>
  <si>
    <r>
      <t xml:space="preserve">3) </t>
    </r>
    <r>
      <rPr>
        <sz val="10"/>
        <color rgb="FF000000"/>
        <rFont val="Arial Narrow"/>
        <family val="2"/>
      </rPr>
      <t>What do you do if a resident refuses care or is a safety risk?</t>
    </r>
  </si>
  <si>
    <r>
      <t xml:space="preserve">4) </t>
    </r>
    <r>
      <rPr>
        <sz val="10"/>
        <color rgb="FF000000"/>
        <rFont val="Arial Narrow"/>
        <family val="2"/>
      </rPr>
      <t>Is the resident involved in the development of their plan of care? Have you been included in the care plan development?</t>
    </r>
  </si>
  <si>
    <r>
      <t xml:space="preserve">5) </t>
    </r>
    <r>
      <rPr>
        <sz val="10"/>
        <color rgb="FF000000"/>
        <rFont val="Arial Narrow"/>
        <family val="2"/>
      </rPr>
      <t>What are some risk factors for the resident?</t>
    </r>
  </si>
  <si>
    <t>Amy Abraham</t>
  </si>
  <si>
    <r>
      <t xml:space="preserve">Key Element Validation:                           </t>
    </r>
    <r>
      <rPr>
        <b/>
        <i/>
        <sz val="14"/>
        <color rgb="FF000000"/>
        <rFont val="Arial Narrow"/>
        <family val="2"/>
      </rPr>
      <t>Infection Prevention &amp; Control</t>
    </r>
  </si>
  <si>
    <t>Richard Markgard</t>
  </si>
  <si>
    <t>Craig Tarpley</t>
  </si>
  <si>
    <t>Steven Thompson</t>
  </si>
  <si>
    <t>EBP</t>
  </si>
  <si>
    <t>Precaution Type:</t>
  </si>
  <si>
    <t>Item Description</t>
  </si>
  <si>
    <t>PI to coccyx</t>
  </si>
  <si>
    <t>EBP cath</t>
  </si>
  <si>
    <t>Also active infection tx with augmentin- not clear for what - pending blood cx</t>
  </si>
  <si>
    <t>Score Key:                                                                     Met = 4 or 3 | Not Met = 0 | N/A</t>
  </si>
  <si>
    <r>
      <rPr>
        <b/>
        <sz val="10"/>
        <color rgb="FF000000"/>
        <rFont val="Arial Narrow"/>
        <family val="2"/>
      </rPr>
      <t>1)</t>
    </r>
    <r>
      <rPr>
        <sz val="10"/>
        <color rgb="FF000000"/>
        <rFont val="Arial Narrow"/>
        <family val="2"/>
      </rPr>
      <t xml:space="preserve"> Are resident </t>
    </r>
    <r>
      <rPr>
        <b/>
        <sz val="10"/>
        <color rgb="FF000000"/>
        <rFont val="Arial Narrow"/>
        <family val="2"/>
      </rPr>
      <t>immunizations</t>
    </r>
    <r>
      <rPr>
        <sz val="10"/>
        <color rgb="FF000000"/>
        <rFont val="Arial Narrow"/>
        <family val="2"/>
      </rPr>
      <t xml:space="preserve"> current and/or offered with evidence documented of risk and benefit education if refused? Were applicable areas reviewed to include influenza, pneumococcal, COVID-19, and others as indicated?  </t>
    </r>
  </si>
  <si>
    <t>Noted "not eligible" for PCV 21 as had prior. Recommend getting the date if possible and recording the historical date. Did not count Flu and covid booster this month- did not see them as offered yet but should be offered this month.</t>
  </si>
  <si>
    <t>Same---- Noted "not eligible" for PCV 21 as had prior. Recommend getting the date if possible and recording the historical date. Did not count Flu and covid booster this month- did not see them as offered yet but should be offered this month.</t>
  </si>
  <si>
    <r>
      <t xml:space="preserve">2 ) </t>
    </r>
    <r>
      <rPr>
        <sz val="10"/>
        <color rgb="FF000000"/>
        <rFont val="Arial Narrow"/>
        <family val="2"/>
      </rPr>
      <t xml:space="preserve">Is resident </t>
    </r>
    <r>
      <rPr>
        <b/>
        <sz val="10"/>
        <color rgb="FF000000"/>
        <rFont val="Arial Narrow"/>
        <family val="2"/>
      </rPr>
      <t>TB testing</t>
    </r>
    <r>
      <rPr>
        <sz val="10"/>
        <color rgb="FF000000"/>
        <rFont val="Arial Narrow"/>
        <family val="2"/>
      </rPr>
      <t xml:space="preserve"> completed on admission using the two-step method or evidence of chest xray has ruled out TB?</t>
    </r>
  </si>
  <si>
    <t>Testing documentation incomplete</t>
  </si>
  <si>
    <r>
      <t>3)</t>
    </r>
    <r>
      <rPr>
        <sz val="10"/>
        <color rgb="FF000000"/>
        <rFont val="Arial Narrow"/>
        <family val="2"/>
      </rPr>
      <t xml:space="preserve"> Do residents with current </t>
    </r>
    <r>
      <rPr>
        <b/>
        <sz val="10"/>
        <color rgb="FF000000"/>
        <rFont val="Arial Narrow"/>
        <family val="2"/>
      </rPr>
      <t>infection/antibiotics</t>
    </r>
    <r>
      <rPr>
        <sz val="10"/>
        <color rgb="FF000000"/>
        <rFont val="Arial Narrow"/>
        <family val="2"/>
      </rPr>
      <t xml:space="preserve"> meet McGeer's criteria? Were applicable areas reviewed to include corresponding orders, C&amp;S, medication stop date, precautions, infection eval, resident advocate notification, resident education, care plan, alert charting monitor?</t>
    </r>
    <r>
      <rPr>
        <b/>
        <sz val="10"/>
        <color rgb="FF000000"/>
        <rFont val="Arial Narrow"/>
        <family val="2"/>
      </rPr>
      <t xml:space="preserve">  Are infection surveillance obs audits done routinely and increased during outbreak and/or spread of infection?</t>
    </r>
  </si>
  <si>
    <t>On the abo time out form- does not seem to address that culture did not grow anything. Provider still ordered abo tx. TX of UTI- recommend review and update of care plan to reflect active infections and dates. Noted historical infections. Enhanced Barrier Precautions care plan - recommend updating to reflect the current wound related to and add as an order to communicate to staff the EBP. Do not see it being tracked in infection module - appears tracking only catheters?</t>
  </si>
  <si>
    <t>Rsd had UA done at ER visit 9/19. Did not see the culture results addressed in relation to the abo that was ordered to see if it was determined to be susceptible.</t>
  </si>
  <si>
    <t xml:space="preserve">The hospital re-admission notes from 9/29 indicate to follow up on blood culture resutls - did not see documentation of this in the time out form. Care plan for active infection /EBP does not meet 48 hour blcp requirements. Need to verify abo ordered is susceptible. </t>
  </si>
  <si>
    <r>
      <t>4)</t>
    </r>
    <r>
      <rPr>
        <sz val="10"/>
        <color rgb="FF000000"/>
        <rFont val="Arial Narrow"/>
        <family val="2"/>
      </rPr>
      <t xml:space="preserve"> Are current infections</t>
    </r>
    <r>
      <rPr>
        <b/>
        <sz val="10"/>
        <color rgb="FF000000"/>
        <rFont val="Arial Narrow"/>
        <family val="2"/>
      </rPr>
      <t xml:space="preserve"> tracked and trended</t>
    </r>
    <r>
      <rPr>
        <sz val="10"/>
        <color rgb="FF000000"/>
        <rFont val="Arial Narrow"/>
        <family val="2"/>
      </rPr>
      <t>? Were applicable areas reviewed to include mapping, organisms, real time so that adjustments to care delivery can be addressed timely if indicated?</t>
    </r>
  </si>
  <si>
    <t>Logged in PCC infection module</t>
  </si>
  <si>
    <t>logged in PCC infection module- culture was obtained at er visit- do not see what the organism results were.</t>
  </si>
  <si>
    <r>
      <t xml:space="preserve">5) </t>
    </r>
    <r>
      <rPr>
        <sz val="10"/>
        <color rgb="FF000000"/>
        <rFont val="Arial Narrow"/>
        <family val="2"/>
      </rPr>
      <t xml:space="preserve">Do </t>
    </r>
    <r>
      <rPr>
        <b/>
        <sz val="10"/>
        <color rgb="FF000000"/>
        <rFont val="Arial Narrow"/>
        <family val="2"/>
      </rPr>
      <t>respiratory care</t>
    </r>
    <r>
      <rPr>
        <sz val="10"/>
        <color rgb="FF000000"/>
        <rFont val="Arial Narrow"/>
        <family val="2"/>
      </rPr>
      <t xml:space="preserve"> items have orders to change, cleanse, and store as indicated?</t>
    </r>
    <r>
      <rPr>
        <b/>
        <sz val="10"/>
        <color rgb="FF000000"/>
        <rFont val="Arial Narrow"/>
        <family val="2"/>
      </rPr>
      <t xml:space="preserve"> </t>
    </r>
    <r>
      <rPr>
        <sz val="10"/>
        <color rgb="FF000000"/>
        <rFont val="Arial Narrow"/>
        <family val="2"/>
      </rPr>
      <t>Were applicable areas reviewed to include disposable items dated, concentrator filters cleaned, oxygen tubing changed/dated/stored, nebulizer changed/rinsedstored dry, CPAP/BiPAP/Vent change/cleanse/store, suction devices cleansed/disposed?</t>
    </r>
  </si>
  <si>
    <t>N/A</t>
  </si>
  <si>
    <t>Conflicting orders about Vtial signs to measure. Appear to have older orders related to monitroing an acute condition that need reviewed for continued need as some conflict with each other. For example what to maintain o2 leevel at 88-92 but also call if o2 sat less than 90. Has neb order without cleaning but has not used in last 30 days. . Has prn o2 order - has also not used. There is currently not cleaning orders but since not using, does not need. Would need added if using.Are all the resp orders still necessary?</t>
  </si>
  <si>
    <t>None ordered</t>
  </si>
  <si>
    <t xml:space="preserve">Re-admitted with neb tx prn. If uses , will need cleaning instructions added. May want to consider adding to the order so when they use it is within the order. </t>
  </si>
  <si>
    <t>Score Key:                                                                     Met = 10 | Not Met = 0 | N/A</t>
  </si>
  <si>
    <r>
      <t xml:space="preserve">Observation Directions: </t>
    </r>
    <r>
      <rPr>
        <sz val="12"/>
        <color rgb="FF000000"/>
        <rFont val="Arial Narrow"/>
        <family val="2"/>
      </rPr>
      <t>Score the facility as a whole. If not applicable, select "N/A'.</t>
    </r>
  </si>
  <si>
    <r>
      <t xml:space="preserve">6) </t>
    </r>
    <r>
      <rPr>
        <sz val="10"/>
        <color rgb="FF000000"/>
        <rFont val="Arial Narrow"/>
        <family val="2"/>
      </rPr>
      <t xml:space="preserve">Are </t>
    </r>
    <r>
      <rPr>
        <b/>
        <sz val="10"/>
        <color rgb="FF000000"/>
        <rFont val="Arial Narrow"/>
        <family val="2"/>
      </rPr>
      <t>glucometers calibrated</t>
    </r>
    <r>
      <rPr>
        <sz val="10"/>
        <color rgb="FF000000"/>
        <rFont val="Arial Narrow"/>
        <family val="2"/>
      </rPr>
      <t xml:space="preserve"> nightly if for multiple resident use or weekly if for single resident use devices? Are results documented multi-resident log/single-resident on TAR) and reviewed for adjustment if indicated?</t>
    </r>
    <r>
      <rPr>
        <b/>
        <sz val="10"/>
        <color rgb="FF000000"/>
        <rFont val="Arial Narrow"/>
        <family val="2"/>
      </rPr>
      <t xml:space="preserve">  Are proper techniques used to clean the glucometers?</t>
    </r>
  </si>
  <si>
    <r>
      <t>7)</t>
    </r>
    <r>
      <rPr>
        <sz val="10"/>
        <color rgb="FF000000"/>
        <rFont val="Arial Narrow"/>
        <family val="2"/>
      </rPr>
      <t xml:space="preserve"> Are</t>
    </r>
    <r>
      <rPr>
        <b/>
        <sz val="10"/>
        <color rgb="FF000000"/>
        <rFont val="Arial Narrow"/>
        <family val="2"/>
      </rPr>
      <t xml:space="preserve"> refrigerators</t>
    </r>
    <r>
      <rPr>
        <sz val="10"/>
        <color rgb="FF000000"/>
        <rFont val="Arial Narrow"/>
        <family val="2"/>
      </rPr>
      <t xml:space="preserve"> clean, with a thermometer, and monitored with documentation at least daily? Are temperatures appropriate for nourishment 33-40 degrees, medication 36-46 degrees, immunizations 36-46 degrees, lab draws 40-46 degrees? </t>
    </r>
  </si>
  <si>
    <t>7) Comments:</t>
  </si>
  <si>
    <r>
      <t>8)</t>
    </r>
    <r>
      <rPr>
        <sz val="10"/>
        <color rgb="FF000000"/>
        <rFont val="Arial Narrow"/>
        <family val="2"/>
      </rPr>
      <t xml:space="preserve"> Do staff donn, doff, dispose</t>
    </r>
    <r>
      <rPr>
        <b/>
        <sz val="10"/>
        <color rgb="FF000000"/>
        <rFont val="Arial Narrow"/>
        <family val="2"/>
      </rPr>
      <t xml:space="preserve"> PPE</t>
    </r>
    <r>
      <rPr>
        <sz val="10"/>
        <color rgb="FF000000"/>
        <rFont val="Arial Narrow"/>
        <family val="2"/>
      </rPr>
      <t xml:space="preserve"> for EBP or TBP appropriately? Were applicable areas reviewed to include signage, supply quantity and storage, appropriate order, waste container inside the room, and a covered waste container outside the room door?</t>
    </r>
  </si>
  <si>
    <t>8) Comments:</t>
  </si>
  <si>
    <r>
      <t xml:space="preserve">9) </t>
    </r>
    <r>
      <rPr>
        <sz val="10"/>
        <color rgb="FF000000"/>
        <rFont val="Arial Narrow"/>
        <family val="2"/>
      </rPr>
      <t>Do</t>
    </r>
    <r>
      <rPr>
        <b/>
        <sz val="10"/>
        <color rgb="FF000000"/>
        <rFont val="Arial Narrow"/>
        <family val="2"/>
      </rPr>
      <t xml:space="preserve"> staff perform hand hygiene</t>
    </r>
    <r>
      <rPr>
        <sz val="10"/>
        <color rgb="FF000000"/>
        <rFont val="Arial Narrow"/>
        <family val="2"/>
      </rPr>
      <t xml:space="preserve"> appropriately and with frequency? Were applicable areas reviewed to include enter/exit of room, with glove use, during meals, for a full 20 seconds, clean towel to turn off water, rub ABHS until dry?</t>
    </r>
    <r>
      <rPr>
        <b/>
        <sz val="10"/>
        <color rgb="FF000000"/>
        <rFont val="Arial Narrow"/>
        <family val="2"/>
      </rPr>
      <t xml:space="preserve">  </t>
    </r>
    <r>
      <rPr>
        <sz val="10"/>
        <color rgb="FF000000"/>
        <rFont val="Arial Narrow"/>
        <family val="2"/>
      </rPr>
      <t>Are residents assisted with hand hygiene after toileting, before meals, etc?</t>
    </r>
  </si>
  <si>
    <t>9) Comments:</t>
  </si>
  <si>
    <r>
      <t xml:space="preserve">10) </t>
    </r>
    <r>
      <rPr>
        <sz val="10"/>
        <color rgb="FF000000"/>
        <rFont val="Arial Narrow"/>
        <family val="2"/>
      </rPr>
      <t xml:space="preserve"> If there is an </t>
    </r>
    <r>
      <rPr>
        <b/>
        <sz val="10"/>
        <color rgb="FF000000"/>
        <rFont val="Arial Narrow"/>
        <family val="2"/>
      </rPr>
      <t>outbreak</t>
    </r>
    <r>
      <rPr>
        <sz val="10"/>
        <color rgb="FF000000"/>
        <rFont val="Arial Narrow"/>
        <family val="2"/>
      </rPr>
      <t>, policies and procedures are followed? Were applicable areas reviewed to include source control, precautions, signage, PPE, notification, health dept engagement, medical director/QAPI sub-committee review?</t>
    </r>
  </si>
  <si>
    <t>10) Comments:</t>
  </si>
  <si>
    <r>
      <t xml:space="preserve">11) </t>
    </r>
    <r>
      <rPr>
        <sz val="10"/>
        <color rgb="FF000000"/>
        <rFont val="Arial Narrow"/>
        <family val="2"/>
      </rPr>
      <t xml:space="preserve"> Do care givers complete </t>
    </r>
    <r>
      <rPr>
        <b/>
        <sz val="10"/>
        <color rgb="FF000000"/>
        <rFont val="Arial Narrow"/>
        <family val="2"/>
      </rPr>
      <t>peri care</t>
    </r>
    <r>
      <rPr>
        <sz val="10"/>
        <color rgb="FF000000"/>
        <rFont val="Arial Narrow"/>
        <family val="2"/>
      </rPr>
      <t xml:space="preserve"> per guidelines? Were applicable areas reviewed to include glove changes, hand hygiene, no clean linen against the uniform, cleaning front to back/clean to dirty, no soiled linen on the floor, bagged linen disposal?</t>
    </r>
  </si>
  <si>
    <t>11) Comments:</t>
  </si>
  <si>
    <r>
      <t xml:space="preserve">12) </t>
    </r>
    <r>
      <rPr>
        <sz val="10"/>
        <color rgb="FF000000"/>
        <rFont val="Arial Narrow"/>
        <family val="2"/>
      </rPr>
      <t xml:space="preserve"> Do LNs complete dressing changes, ointment application, respiratory tx, eye drops, injections, med pass with appropriate </t>
    </r>
    <r>
      <rPr>
        <b/>
        <sz val="10"/>
        <color rgb="FF000000"/>
        <rFont val="Arial Narrow"/>
        <family val="2"/>
      </rPr>
      <t>standard of practice</t>
    </r>
    <r>
      <rPr>
        <sz val="10"/>
        <color rgb="FF000000"/>
        <rFont val="Arial Narrow"/>
        <family val="2"/>
      </rPr>
      <t xml:space="preserve"> infection control techniques?</t>
    </r>
  </si>
  <si>
    <t>12) Comments:</t>
  </si>
  <si>
    <t>Infection Prevention &amp; Control Total Possible Points:</t>
  </si>
  <si>
    <r>
      <t xml:space="preserve">13) </t>
    </r>
    <r>
      <rPr>
        <sz val="10"/>
        <color rgb="FF000000"/>
        <rFont val="Arial Narrow"/>
        <family val="2"/>
      </rPr>
      <t xml:space="preserve"> Are </t>
    </r>
    <r>
      <rPr>
        <b/>
        <sz val="10"/>
        <color rgb="FF000000"/>
        <rFont val="Arial Narrow"/>
        <family val="2"/>
      </rPr>
      <t>laundry</t>
    </r>
    <r>
      <rPr>
        <sz val="10"/>
        <color rgb="FF000000"/>
        <rFont val="Arial Narrow"/>
        <family val="2"/>
      </rPr>
      <t xml:space="preserve"> processing procedure appropriate for infection control? Were applicable areas reviewed to include glove/gown use with soiled items, cleansing the washer rim post loading/before closing the door, water temp/sanitizer process, hand hygiene, folding processed, delivery of linens in a covered cart?</t>
    </r>
  </si>
  <si>
    <t>13) Comments:</t>
  </si>
  <si>
    <r>
      <t xml:space="preserve">1) </t>
    </r>
    <r>
      <rPr>
        <sz val="10"/>
        <color rgb="FF000000"/>
        <rFont val="Arial Narrow"/>
        <family val="2"/>
      </rPr>
      <t>When do you perform hand hygiene? What is the intended duration of the scrub/rub?</t>
    </r>
  </si>
  <si>
    <r>
      <t xml:space="preserve">2) </t>
    </r>
    <r>
      <rPr>
        <sz val="10"/>
        <color rgb="FF000000"/>
        <rFont val="Arial Narrow"/>
        <family val="2"/>
      </rPr>
      <t>Are PPE supplies readily available? Who do you contact for replacement supplies?</t>
    </r>
  </si>
  <si>
    <r>
      <t xml:space="preserve">3) </t>
    </r>
    <r>
      <rPr>
        <sz val="10"/>
        <color rgb="FF000000"/>
        <rFont val="Arial Narrow"/>
        <family val="2"/>
      </rPr>
      <t>How do you know what residents are on enhanced barrier or transmission-based precautions? What is the cause of the isolation precautions? How does that impact your entry into the resident environment?</t>
    </r>
  </si>
  <si>
    <r>
      <t xml:space="preserve">4) </t>
    </r>
    <r>
      <rPr>
        <sz val="10"/>
        <color rgb="FF000000"/>
        <rFont val="Arial Narrow"/>
        <family val="2"/>
      </rPr>
      <t xml:space="preserve">If you are ill or have an open wound to whom do you report? </t>
    </r>
  </si>
  <si>
    <r>
      <t xml:space="preserve">5) </t>
    </r>
    <r>
      <rPr>
        <sz val="10"/>
        <color rgb="FF000000"/>
        <rFont val="Arial Narrow"/>
        <family val="2"/>
      </rPr>
      <t>As an employee, have you been offered influenza and COVID-19 immunizations?</t>
    </r>
  </si>
  <si>
    <r>
      <t xml:space="preserve">Key Element Validation: </t>
    </r>
    <r>
      <rPr>
        <b/>
        <i/>
        <sz val="14"/>
        <color rgb="FF000000"/>
        <rFont val="Arial Narrow"/>
        <family val="2"/>
      </rPr>
      <t>Skin Integrity &amp; Wounds</t>
    </r>
  </si>
  <si>
    <t>Richard Markegard</t>
  </si>
  <si>
    <t>In-House Acquisition</t>
  </si>
  <si>
    <t>Wound Status</t>
  </si>
  <si>
    <t>Improving</t>
  </si>
  <si>
    <t>Stable</t>
  </si>
  <si>
    <t>PI stage 3 to sacrum</t>
  </si>
  <si>
    <t>Resident has 8 open wound eval theads</t>
  </si>
  <si>
    <t>Open wounds to lateral right foot- etiology unclear</t>
  </si>
  <si>
    <r>
      <t xml:space="preserve">Record Review Directions: </t>
    </r>
    <r>
      <rPr>
        <sz val="11"/>
        <color rgb="FF000000"/>
        <rFont val="Arial Narrow"/>
        <family val="2"/>
      </rPr>
      <t>Briefly describe the wound and</t>
    </r>
    <r>
      <rPr>
        <sz val="12"/>
        <color rgb="FF000000"/>
        <rFont val="Arial Narrow"/>
        <family val="2"/>
      </rPr>
      <t xml:space="preserve"> note the date of wound development, if relevant</t>
    </r>
    <r>
      <rPr>
        <b/>
        <sz val="12"/>
        <color rgb="FF000000"/>
        <rFont val="Arial Narrow"/>
        <family val="2"/>
      </rPr>
      <t>.</t>
    </r>
    <r>
      <rPr>
        <sz val="12"/>
        <color rgb="FF000000"/>
        <rFont val="Arial Narrow"/>
        <family val="2"/>
      </rPr>
      <t xml:space="preserve"> If the question is not applicable, select "N/A".</t>
    </r>
  </si>
  <si>
    <r>
      <rPr>
        <b/>
        <sz val="10"/>
        <color rgb="FF000000"/>
        <rFont val="Arial Narrow"/>
        <family val="2"/>
      </rPr>
      <t>1)</t>
    </r>
    <r>
      <rPr>
        <sz val="10"/>
        <color rgb="FF000000"/>
        <rFont val="Arial Narrow"/>
        <family val="2"/>
      </rPr>
      <t xml:space="preserve">  Was risk anticipated? Note </t>
    </r>
    <r>
      <rPr>
        <b/>
        <sz val="10"/>
        <color rgb="FF000000"/>
        <rFont val="Arial Narrow"/>
        <family val="2"/>
      </rPr>
      <t>Braden</t>
    </r>
    <r>
      <rPr>
        <sz val="10"/>
        <color rgb="FF000000"/>
        <rFont val="Arial Narrow"/>
        <family val="2"/>
      </rPr>
      <t xml:space="preserve"> score. Was Braden completed timely on admission, quarterly, and as needed? Were care plan interventions established to address areas that trigger? Were applicable areas reviewed to include if indicated sensory, moisture, activity, mobility, nutrition, friction/shearing, hx, comorbidities?  Please review H&amp;P.  Was risk anticipated?  </t>
    </r>
  </si>
  <si>
    <t>Missed Braden that was due in August. Did not count as looked at current and has a current one since re-admit 9/29.</t>
  </si>
  <si>
    <r>
      <t>2)</t>
    </r>
    <r>
      <rPr>
        <sz val="10"/>
        <color rgb="FF000000"/>
        <rFont val="Arial Narrow"/>
        <family val="2"/>
      </rPr>
      <t xml:space="preserve">  Were </t>
    </r>
    <r>
      <rPr>
        <b/>
        <sz val="10"/>
        <color rgb="FF000000"/>
        <rFont val="Arial Narrow"/>
        <family val="2"/>
      </rPr>
      <t>pressure reducing/relief device</t>
    </r>
    <r>
      <rPr>
        <sz val="10"/>
        <color rgb="FF000000"/>
        <rFont val="Arial Narrow"/>
        <family val="2"/>
      </rPr>
      <t xml:space="preserve">s implemented? Were applicable areas reviewed to include turn schedule, turning wedge/pillows, slip/turn sheet, toileting prog, air bed with setting, w/c cushion, heel pro/boots, supplements, geri-sleeves, derma-legs? </t>
    </r>
  </si>
  <si>
    <t>Rsd re-admitted with- prior cp with interventions. Prior care plan closed 9/25/25</t>
  </si>
  <si>
    <r>
      <t>3)</t>
    </r>
    <r>
      <rPr>
        <sz val="10"/>
        <color rgb="FF000000"/>
        <rFont val="Arial Narrow"/>
        <family val="2"/>
      </rPr>
      <t xml:space="preserve"> Weekly </t>
    </r>
    <r>
      <rPr>
        <b/>
        <sz val="10"/>
        <color rgb="FF000000"/>
        <rFont val="Arial Narrow"/>
        <family val="2"/>
      </rPr>
      <t xml:space="preserve">skin check </t>
    </r>
    <r>
      <rPr>
        <sz val="10"/>
        <color rgb="FF000000"/>
        <rFont val="Arial Narrow"/>
        <family val="2"/>
      </rPr>
      <t>scheduled and completed timely? Was skin health addressed reviewing for quality prevention plan?</t>
    </r>
  </si>
  <si>
    <t>Weekly skin check was completed once in the month of September 2025.</t>
  </si>
  <si>
    <r>
      <rPr>
        <b/>
        <sz val="10"/>
        <color rgb="FF000000"/>
        <rFont val="Arial Narrow"/>
        <family val="2"/>
      </rPr>
      <t xml:space="preserve">4) </t>
    </r>
    <r>
      <rPr>
        <sz val="10"/>
        <color rgb="FF000000"/>
        <rFont val="Arial Narrow"/>
        <family val="2"/>
      </rPr>
      <t xml:space="preserve">If new wound, was </t>
    </r>
    <r>
      <rPr>
        <b/>
        <sz val="10"/>
        <color rgb="FF000000"/>
        <rFont val="Arial Narrow"/>
        <family val="2"/>
      </rPr>
      <t>immediate assess/eva</t>
    </r>
    <r>
      <rPr>
        <sz val="10"/>
        <color rgb="FF000000"/>
        <rFont val="Arial Narrow"/>
        <family val="2"/>
      </rPr>
      <t>l completed with photo/helix of significant wounds if indicated, incident completed in risk mgmt if in-house acquired, neglect verified/not verified/inconclusive?  Was RCA Completed or identified?  Is the RCA feasible?</t>
    </r>
  </si>
  <si>
    <t>FYI- good investigation but would havee included the interventions that were in place prior to the wound. In looking at the care plan/orders could tell but recoomend adding it to RCA in future as it shows we put in preventative measures prior to. Rsd is also noted to be having an acute illness during this time period which may have affected mobility as well. Facility was addressing.</t>
  </si>
  <si>
    <t>FYI- the RCA indicated shoes were the issue. see below for CP recomendation.</t>
  </si>
  <si>
    <t>Appears  returned from acute 9/29 with lateral right foot opening r/t cellulitis</t>
  </si>
  <si>
    <r>
      <rPr>
        <b/>
        <sz val="10"/>
        <color rgb="FF000000"/>
        <rFont val="Arial Narrow"/>
        <family val="2"/>
      </rPr>
      <t>5)</t>
    </r>
    <r>
      <rPr>
        <sz val="10"/>
        <color rgb="FF000000"/>
        <rFont val="Arial Narrow"/>
        <family val="2"/>
      </rPr>
      <t xml:space="preserve"> If new wound, was </t>
    </r>
    <r>
      <rPr>
        <b/>
        <sz val="10"/>
        <color rgb="FF000000"/>
        <rFont val="Arial Narrow"/>
        <family val="2"/>
      </rPr>
      <t>alert charting</t>
    </r>
    <r>
      <rPr>
        <sz val="10"/>
        <color rgb="FF000000"/>
        <rFont val="Arial Narrow"/>
        <family val="2"/>
      </rPr>
      <t xml:space="preserve"> established with quality progress note x 72 hours for wounds/TAR notation x 7 days for bruises to address potential latent injury, response to treatment, effectiveness of care plan updates?</t>
    </r>
  </si>
  <si>
    <t xml:space="preserve">It is somewhat unclear what the right foot wounds are. There are dressing orders going back to August but do not see any RCA of what is or tracking- noted to be "wound" . </t>
  </si>
  <si>
    <r>
      <rPr>
        <b/>
        <sz val="10"/>
        <color rgb="FF000000"/>
        <rFont val="Arial Narrow"/>
        <family val="2"/>
      </rPr>
      <t xml:space="preserve">6) </t>
    </r>
    <r>
      <rPr>
        <sz val="10"/>
        <color rgb="FF000000"/>
        <rFont val="Arial Narrow"/>
        <family val="2"/>
      </rPr>
      <t xml:space="preserve">Is </t>
    </r>
    <r>
      <rPr>
        <b/>
        <sz val="10"/>
        <color rgb="FF000000"/>
        <rFont val="Arial Narrow"/>
        <family val="2"/>
      </rPr>
      <t>treatment</t>
    </r>
    <r>
      <rPr>
        <sz val="10"/>
        <color rgb="FF000000"/>
        <rFont val="Arial Narrow"/>
        <family val="2"/>
      </rPr>
      <t xml:space="preserve"> order complete? Were applicable areas reviewed to include site, type, cleanse with, apply, cover with, frequency? If under a brace is a daily skin monitor on TAR? Is an airbed in use with setting monitor on MAR?</t>
    </r>
  </si>
  <si>
    <t>The active order in PCC is from 8/6/25. It was not updated with changes to the order on 9/18 or 9/25. The order in PCC indicates to apply anaspt gl to the wound bed. This has not been recommended since visit 9/18. FYI- noted to have multiple duplicate order (r/t mattress) also historical eval and tx orders.</t>
  </si>
  <si>
    <t xml:space="preserve">Duplicate orders for the same wounds to thee rt heel, rt med heel and left lateral. Rcommend d/c the 9/11 instructions. </t>
  </si>
  <si>
    <r>
      <rPr>
        <b/>
        <sz val="10"/>
        <color rgb="FF000000"/>
        <rFont val="Arial Narrow"/>
        <family val="2"/>
      </rPr>
      <t xml:space="preserve">7) </t>
    </r>
    <r>
      <rPr>
        <sz val="10"/>
        <color rgb="FF000000"/>
        <rFont val="Arial Narrow"/>
        <family val="2"/>
      </rPr>
      <t xml:space="preserve">Is the </t>
    </r>
    <r>
      <rPr>
        <b/>
        <sz val="10"/>
        <color rgb="FF000000"/>
        <rFont val="Arial Narrow"/>
        <family val="2"/>
      </rPr>
      <t>TAR</t>
    </r>
    <r>
      <rPr>
        <sz val="10"/>
        <color rgb="FF000000"/>
        <rFont val="Arial Narrow"/>
        <family val="2"/>
      </rPr>
      <t xml:space="preserve"> consistenly completed for wound treatment plan? Are changes in orders implemented timely?</t>
    </r>
  </si>
  <si>
    <t xml:space="preserve">Multiple holes in TAR documentation on 9/20 and 9/26 to include the coccyx dressing change among other skin related orders. </t>
  </si>
  <si>
    <r>
      <rPr>
        <b/>
        <sz val="10"/>
        <color rgb="FF000000"/>
        <rFont val="Arial Narrow"/>
        <family val="2"/>
      </rPr>
      <t>8)</t>
    </r>
    <r>
      <rPr>
        <sz val="10"/>
        <color rgb="FF000000"/>
        <rFont val="Arial Narrow"/>
        <family val="2"/>
      </rPr>
      <t xml:space="preserve"> Is current </t>
    </r>
    <r>
      <rPr>
        <b/>
        <sz val="10"/>
        <color rgb="FF000000"/>
        <rFont val="Arial Narrow"/>
        <family val="2"/>
      </rPr>
      <t>wound eval and photo</t>
    </r>
    <r>
      <rPr>
        <sz val="10"/>
        <color rgb="FF000000"/>
        <rFont val="Arial Narrow"/>
        <family val="2"/>
      </rPr>
      <t xml:space="preserve"> completed weekly and locked timely? Is PUSH score address if indicated? If wound is not improving every 14 days is adv practice practioner notified with follow-up and new orders and care plan evident?</t>
    </r>
  </si>
  <si>
    <t>FYI- UWH is meeting this requirement. The eval in PCC is not done routinely but did not remove points as the assessment is done for the reviewed sacral PU. There are a number of historical wounds that should be closed out in the skin module if they are resolved which they appear to be as there is no longer txs for them.</t>
  </si>
  <si>
    <t>Missing 9/24 as rsd out when UWH rounded and did not see facility assessment completed.</t>
  </si>
  <si>
    <t>Do not see assessment of the open area upon re-admit 9/29/25</t>
  </si>
  <si>
    <r>
      <rPr>
        <b/>
        <sz val="10"/>
        <color rgb="FF000000"/>
        <rFont val="Arial Narrow"/>
        <family val="2"/>
      </rPr>
      <t xml:space="preserve">9) </t>
    </r>
    <r>
      <rPr>
        <sz val="10"/>
        <color rgb="FF000000"/>
        <rFont val="Arial Narrow"/>
        <family val="2"/>
      </rPr>
      <t>Is the resident and/or resident representative aware of current wound status?</t>
    </r>
  </si>
  <si>
    <t>POA</t>
  </si>
  <si>
    <r>
      <t xml:space="preserve">10) </t>
    </r>
    <r>
      <rPr>
        <sz val="10"/>
        <color rgb="FF000000"/>
        <rFont val="Arial Narrow"/>
        <family val="2"/>
      </rPr>
      <t xml:space="preserve"> Was physician notified of new wound or change in wound status?</t>
    </r>
  </si>
  <si>
    <r>
      <rPr>
        <b/>
        <sz val="10"/>
        <color rgb="FF000000"/>
        <rFont val="Arial Narrow"/>
        <family val="2"/>
      </rPr>
      <t>11)</t>
    </r>
    <r>
      <rPr>
        <sz val="10"/>
        <color rgb="FF000000"/>
        <rFont val="Arial Narrow"/>
        <family val="2"/>
      </rPr>
      <t xml:space="preserve"> Does the current</t>
    </r>
    <r>
      <rPr>
        <b/>
        <sz val="10"/>
        <color rgb="FF000000"/>
        <rFont val="Arial Narrow"/>
        <family val="2"/>
      </rPr>
      <t xml:space="preserve"> RD note</t>
    </r>
    <r>
      <rPr>
        <sz val="10"/>
        <color rgb="FF000000"/>
        <rFont val="Arial Narrow"/>
        <family val="2"/>
      </rPr>
      <t xml:space="preserve"> reflect wound risk or management of increased nutritional needs, labs?</t>
    </r>
  </si>
  <si>
    <t>Do not see RD eval r/t new wounds on 9/8. Last RD /NAR review done 8/7/25. Wounds identified 9/8/25.</t>
  </si>
  <si>
    <t>Rsd appears to have had the open wounds since at least 8/8/25 - in the NAR note on 9/18, nutrition in relation to active wounds is not discussed.</t>
  </si>
  <si>
    <r>
      <rPr>
        <b/>
        <sz val="10"/>
        <color rgb="FF000000"/>
        <rFont val="Arial Narrow"/>
        <family val="2"/>
      </rPr>
      <t xml:space="preserve">12) </t>
    </r>
    <r>
      <rPr>
        <sz val="10"/>
        <color rgb="FF000000"/>
        <rFont val="Arial Narrow"/>
        <family val="2"/>
      </rPr>
      <t>Was the</t>
    </r>
    <r>
      <rPr>
        <b/>
        <sz val="10"/>
        <color rgb="FF000000"/>
        <rFont val="Arial Narrow"/>
        <family val="2"/>
      </rPr>
      <t xml:space="preserve"> care plan</t>
    </r>
    <r>
      <rPr>
        <sz val="10"/>
        <color rgb="FF000000"/>
        <rFont val="Arial Narrow"/>
        <family val="2"/>
      </rPr>
      <t xml:space="preserve"> established for risk, prevention, and actual wound site resolution? Was Monitoring established as applicable?  Was plan for implementation observed, documented and reassessed as necessary?</t>
    </r>
  </si>
  <si>
    <t>FYI- Care plan is in place but needs reviewed related to what are active skin issues and interventions. Review of interventions.</t>
  </si>
  <si>
    <t>Care plan does not reflect to monitor r/t medical device which was indicated to be added to not wear diabetic shoes until wounds resolved to feet. Did not see that the intervetion was in place or added. Some conflict in notes as RCA indicates was the shoes and appt the following day indicate was not shoes and /or braces.</t>
  </si>
  <si>
    <t>Re-admit care plan does not address skin . Appears was re-initiated /started brand new on 9/29 and does not meet the requirements for 48 hour care plan</t>
  </si>
  <si>
    <r>
      <rPr>
        <b/>
        <sz val="10"/>
        <color rgb="FF000000"/>
        <rFont val="Arial Narrow"/>
        <family val="2"/>
      </rPr>
      <t xml:space="preserve">13) </t>
    </r>
    <r>
      <rPr>
        <sz val="10"/>
        <color rgb="FF000000"/>
        <rFont val="Arial Narrow"/>
        <family val="2"/>
      </rPr>
      <t xml:space="preserve">Does weekly </t>
    </r>
    <r>
      <rPr>
        <b/>
        <sz val="10"/>
        <color rgb="FF000000"/>
        <rFont val="Arial Narrow"/>
        <family val="2"/>
      </rPr>
      <t>oversight committee</t>
    </r>
    <r>
      <rPr>
        <sz val="10"/>
        <color rgb="FF000000"/>
        <rFont val="Arial Narrow"/>
        <family val="2"/>
      </rPr>
      <t xml:space="preserve"> show evidence of wound documentation review to include third-party notes, resident non-compliance, new wounds RCA, change of condition residents newly at risk, follow-up notification to practitioner and resident advocate, evident of IDT involvement?</t>
    </r>
  </si>
  <si>
    <t>Counted the NAR notes as they indicate review of the wounds as well</t>
  </si>
  <si>
    <t>Did not see notes r/t wounds</t>
  </si>
  <si>
    <t>re-admitted with new on 9/29/25</t>
  </si>
  <si>
    <t>Skin Integirty &amp; Wounds Total Possible Score:</t>
  </si>
  <si>
    <t>Score Key:                                                     Met = 10 | Not Met = 0 | N/A</t>
  </si>
  <si>
    <r>
      <t xml:space="preserve">Observation Directions: </t>
    </r>
    <r>
      <rPr>
        <sz val="12"/>
        <color rgb="FF000000"/>
        <rFont val="Arial Narrow"/>
        <family val="2"/>
      </rPr>
      <t>Score the facility as a whole. If not applicable, select "N/A"</t>
    </r>
    <r>
      <rPr>
        <b/>
        <sz val="12"/>
        <color rgb="FF000000"/>
        <rFont val="Arial Narrow"/>
        <family val="2"/>
      </rPr>
      <t>.</t>
    </r>
  </si>
  <si>
    <r>
      <rPr>
        <sz val="10"/>
        <color rgb="FF000000"/>
        <rFont val="Arial Narrow"/>
        <family val="2"/>
      </rPr>
      <t xml:space="preserve">Was dressing removed intact, dated, initialed, supplies as ordered? Does the wound look infected? Was treatment completed per prescriber's order and with acceptable </t>
    </r>
    <r>
      <rPr>
        <b/>
        <sz val="10"/>
        <color rgb="FF000000"/>
        <rFont val="Arial Narrow"/>
        <family val="2"/>
      </rPr>
      <t>clinical standards</t>
    </r>
    <r>
      <rPr>
        <sz val="10"/>
        <color rgb="FF000000"/>
        <rFont val="Arial Narrow"/>
        <family val="2"/>
      </rPr>
      <t xml:space="preserve"> of practice to include EBP, hand hygiene, glove use, gown use, if multiple wounds the most contaminated ulcer treated last? Did resident show evidence of pain? Was it addressed?</t>
    </r>
  </si>
  <si>
    <t>Comments:</t>
  </si>
  <si>
    <r>
      <rPr>
        <sz val="10"/>
        <color rgb="FF000000"/>
        <rFont val="Arial Narrow"/>
        <family val="2"/>
      </rPr>
      <t xml:space="preserve">Clean wound dressing supplies are handled to prevent </t>
    </r>
    <r>
      <rPr>
        <b/>
        <sz val="10"/>
        <color rgb="FF000000"/>
        <rFont val="Arial Narrow"/>
        <family val="2"/>
      </rPr>
      <t>cross-contamination</t>
    </r>
    <r>
      <rPr>
        <sz val="10"/>
        <color rgb="FF000000"/>
        <rFont val="Arial Narrow"/>
        <family val="2"/>
      </rPr>
      <t>? Were applicable areas reviewed to include treatment cart remains outside res room, unused supplies taken into room are discarded/stored under clean conditions in room, creams/ointments are dedicated to a single res?</t>
    </r>
  </si>
  <si>
    <r>
      <rPr>
        <sz val="10"/>
        <color rgb="FF000000"/>
        <rFont val="Arial Narrow"/>
        <family val="2"/>
      </rPr>
      <t xml:space="preserve">Is the resident </t>
    </r>
    <r>
      <rPr>
        <b/>
        <sz val="10"/>
        <color rgb="FF000000"/>
        <rFont val="Arial Narrow"/>
        <family val="2"/>
      </rPr>
      <t>turned/repositioned</t>
    </r>
    <r>
      <rPr>
        <sz val="10"/>
        <color rgb="FF000000"/>
        <rFont val="Arial Narrow"/>
        <family val="2"/>
      </rPr>
      <t xml:space="preserve"> timely, pressure is avoided on actual wound sites, pressure relief devices positioned/set appropriately?</t>
    </r>
  </si>
  <si>
    <r>
      <t>Interview resident</t>
    </r>
    <r>
      <rPr>
        <sz val="10"/>
        <color rgb="FF000000"/>
        <rFont val="Arial Narrow"/>
        <family val="2"/>
      </rPr>
      <t xml:space="preserve"> to identify if they have been educated regarding their wound and/or risk of wound development? How often are your dressing changed or is treatment applied? Does your wound hurt? How is your wound pain managed? If applicable, your record shows you refuse your boots, what other options did staff provide you?</t>
    </r>
  </si>
  <si>
    <r>
      <t xml:space="preserve">1) </t>
    </r>
    <r>
      <rPr>
        <sz val="10"/>
        <color rgb="FF000000"/>
        <rFont val="Arial Narrow"/>
        <family val="2"/>
      </rPr>
      <t>What, when, and to whom do you report changes in skin condition?</t>
    </r>
  </si>
  <si>
    <r>
      <t xml:space="preserve">2) </t>
    </r>
    <r>
      <rPr>
        <sz val="10"/>
        <color rgb="FF000000"/>
        <rFont val="Arial Narrow"/>
        <family val="2"/>
      </rPr>
      <t>How do you know where the resident wound is located?</t>
    </r>
  </si>
  <si>
    <r>
      <t xml:space="preserve">3) </t>
    </r>
    <r>
      <rPr>
        <sz val="10"/>
        <color rgb="FF000000"/>
        <rFont val="Arial Narrow"/>
        <family val="2"/>
      </rPr>
      <t>Are there any special directives or precautions related to the resident's wound?</t>
    </r>
  </si>
  <si>
    <r>
      <t xml:space="preserve">4) </t>
    </r>
    <r>
      <rPr>
        <sz val="10"/>
        <color rgb="FF000000"/>
        <rFont val="Arial Narrow"/>
        <family val="2"/>
      </rPr>
      <t>How do you identify if the resident has pain related to their wound?</t>
    </r>
  </si>
  <si>
    <r>
      <t>5)</t>
    </r>
    <r>
      <rPr>
        <sz val="10"/>
        <color rgb="FF000000"/>
        <rFont val="Arial Narrow"/>
        <family val="2"/>
      </rPr>
      <t xml:space="preserve"> What is your role in addressing the resident's pain?</t>
    </r>
  </si>
  <si>
    <r>
      <t>6)</t>
    </r>
    <r>
      <rPr>
        <sz val="10"/>
        <color rgb="FF000000"/>
        <rFont val="Arial Narrow"/>
        <family val="2"/>
      </rPr>
      <t xml:space="preserve"> What do you do if the resident refuses care?</t>
    </r>
  </si>
  <si>
    <r>
      <t xml:space="preserve">7) </t>
    </r>
    <r>
      <rPr>
        <sz val="10"/>
        <color rgb="FF000000"/>
        <rFont val="Arial Narrow"/>
        <family val="2"/>
      </rPr>
      <t>How do you know if the care plan interventions are effective?</t>
    </r>
  </si>
  <si>
    <t>A&amp;I Safety Events</t>
  </si>
  <si>
    <t>A&amp;I Resident Selection</t>
  </si>
  <si>
    <t>1st Score Column</t>
  </si>
  <si>
    <t>2nd &amp; 3rd Score Column</t>
  </si>
  <si>
    <t>Observations</t>
  </si>
  <si>
    <t>Follow-Up Needed?</t>
  </si>
  <si>
    <t>Fall</t>
  </si>
  <si>
    <t>Admit Last 30 Days</t>
  </si>
  <si>
    <t>Yes</t>
  </si>
  <si>
    <t>Near Miss</t>
  </si>
  <si>
    <t>Change of Condition</t>
  </si>
  <si>
    <t>No</t>
  </si>
  <si>
    <t>Other</t>
  </si>
  <si>
    <t>ER Visit</t>
  </si>
  <si>
    <t>Resident Altercation</t>
  </si>
  <si>
    <t>Facility Name</t>
  </si>
  <si>
    <t>Safety/Entrapment</t>
  </si>
  <si>
    <t>Medication Error</t>
  </si>
  <si>
    <t>Review Period</t>
  </si>
  <si>
    <t>Smoking</t>
  </si>
  <si>
    <t>Repeat Fall</t>
  </si>
  <si>
    <t>Alderwood Park</t>
  </si>
  <si>
    <t>Wander/Elopement</t>
  </si>
  <si>
    <t>Reportable</t>
  </si>
  <si>
    <t>January 2025</t>
  </si>
  <si>
    <t>Arbor Valley</t>
  </si>
  <si>
    <t>February 2025</t>
  </si>
  <si>
    <t>Aspen Park</t>
  </si>
  <si>
    <t>Discharge/Transfer Location</t>
  </si>
  <si>
    <t>Discharge/Transfer Event Type</t>
  </si>
  <si>
    <t>March 2025</t>
  </si>
  <si>
    <t>Boswell Transitional</t>
  </si>
  <si>
    <t>Skin Resident Selection</t>
  </si>
  <si>
    <t>April 2025</t>
  </si>
  <si>
    <t>ALF</t>
  </si>
  <si>
    <t>Death</t>
  </si>
  <si>
    <t>May 2025</t>
  </si>
  <si>
    <t>Caldwell Care</t>
  </si>
  <si>
    <t>Deteriorating</t>
  </si>
  <si>
    <t>Admit with Wound</t>
  </si>
  <si>
    <t>Home</t>
  </si>
  <si>
    <t>Emergent Transfer</t>
  </si>
  <si>
    <t>June 2025</t>
  </si>
  <si>
    <t>Canyon West</t>
  </si>
  <si>
    <t>Healed</t>
  </si>
  <si>
    <t>Hospital</t>
  </si>
  <si>
    <t>Planned Discharge</t>
  </si>
  <si>
    <t>July 2025</t>
  </si>
  <si>
    <t>Cascadia of Boise</t>
  </si>
  <si>
    <t>New Admit</t>
  </si>
  <si>
    <t>Mortuary</t>
  </si>
  <si>
    <t>August 2025</t>
  </si>
  <si>
    <t>Cascadia of Lewiston</t>
  </si>
  <si>
    <t>New</t>
  </si>
  <si>
    <t>Non-Pressure</t>
  </si>
  <si>
    <t>IP Precaution Type</t>
  </si>
  <si>
    <t>September 2025</t>
  </si>
  <si>
    <t>Cascadia of Nampa</t>
  </si>
  <si>
    <t>No Current Wound</t>
  </si>
  <si>
    <t>Retirement</t>
  </si>
  <si>
    <t>Cherry Ridge</t>
  </si>
  <si>
    <t>Abuse Event Type</t>
  </si>
  <si>
    <t>SNF</t>
  </si>
  <si>
    <t>November 2025</t>
  </si>
  <si>
    <t>Clarkston</t>
  </si>
  <si>
    <t>Stalled</t>
  </si>
  <si>
    <t>Prevention</t>
  </si>
  <si>
    <t>December 2025</t>
  </si>
  <si>
    <t>Clearwater</t>
  </si>
  <si>
    <t>Exploitation</t>
  </si>
  <si>
    <t>IP Resident Selection</t>
  </si>
  <si>
    <t>Standard</t>
  </si>
  <si>
    <t>Coeur d'Alene</t>
  </si>
  <si>
    <t>Abuse Resident Selection</t>
  </si>
  <si>
    <t>Mental</t>
  </si>
  <si>
    <t>TBP</t>
  </si>
  <si>
    <t>Colfax</t>
  </si>
  <si>
    <t>Misappropriation</t>
  </si>
  <si>
    <t>Active Infection</t>
  </si>
  <si>
    <t>Colville</t>
  </si>
  <si>
    <t>Grievances</t>
  </si>
  <si>
    <t>Neglect</t>
  </si>
  <si>
    <t>Colonized</t>
  </si>
  <si>
    <t>Creekside</t>
  </si>
  <si>
    <t>Physical</t>
  </si>
  <si>
    <t>Curry Village (ALF)</t>
  </si>
  <si>
    <t>Progress Note</t>
  </si>
  <si>
    <t>Res-to-Res</t>
  </si>
  <si>
    <t>New Admission</t>
  </si>
  <si>
    <t>Curry Village (SNF)</t>
  </si>
  <si>
    <t>Risk Management</t>
  </si>
  <si>
    <t>Sexual</t>
  </si>
  <si>
    <t>Eagle Rock</t>
  </si>
  <si>
    <t>Abaqis Interviews</t>
  </si>
  <si>
    <t>Verbal</t>
  </si>
  <si>
    <t>Vent/Trach</t>
  </si>
  <si>
    <t>Fairlawn</t>
  </si>
  <si>
    <t>Grangeville</t>
  </si>
  <si>
    <t>Highland</t>
  </si>
  <si>
    <t>Hudson Bay</t>
  </si>
  <si>
    <t>Lewiston Transitional</t>
  </si>
  <si>
    <t>Libby Care Center</t>
  </si>
  <si>
    <t>Mount Ascension Transitional</t>
  </si>
  <si>
    <t>Mountain Valley</t>
  </si>
  <si>
    <t>Mountain View</t>
  </si>
  <si>
    <t>NorthPark</t>
  </si>
  <si>
    <t>Paradise Creek</t>
  </si>
  <si>
    <t>Payette</t>
  </si>
  <si>
    <t>Royal Plaza</t>
  </si>
  <si>
    <t>Secora</t>
  </si>
  <si>
    <t>Shaw Mountain</t>
  </si>
  <si>
    <t>Silverton</t>
  </si>
  <si>
    <t>Snohomish</t>
  </si>
  <si>
    <t>Spokane Valley</t>
  </si>
  <si>
    <t>Stafholt</t>
  </si>
  <si>
    <t>Teton</t>
  </si>
  <si>
    <t>The Cove (ALF)</t>
  </si>
  <si>
    <t>The Cove (SNF)</t>
  </si>
  <si>
    <t>The Orchards</t>
  </si>
  <si>
    <t>Twin Falls Transitioal</t>
  </si>
  <si>
    <t>Village Manor</t>
  </si>
  <si>
    <t>Weiser</t>
  </si>
  <si>
    <t>Wellspring</t>
  </si>
  <si>
    <t>Lisa N</t>
  </si>
  <si>
    <t>Ronald Shoptaugh</t>
  </si>
  <si>
    <t>unwitnessed fall no injury</t>
  </si>
  <si>
    <t>yes</t>
  </si>
  <si>
    <t>no IDT note , no sign off , no RCA , No careplan</t>
  </si>
  <si>
    <t xml:space="preserve">Wanda Culp </t>
  </si>
  <si>
    <t>uniwtnessed fall no injury</t>
  </si>
  <si>
    <t xml:space="preserve">yes </t>
  </si>
  <si>
    <t>no IDT note , Ni sign off, No RCA , No CP</t>
  </si>
  <si>
    <t>M Junes</t>
  </si>
  <si>
    <t>no idt note, no cp , no risk note, no sign off</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</si>
</sst>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1" x14ac:knownFonts="1">
    <font>
      <sz val="11"/>
      <color theme="1"/>
      <name val="Aptos Narrow"/>
      <family val="2"/>
      <scheme val="minor"/>
    </font>
    <font>
      <sz val="10"/>
      <color rgb="FF000000"/>
      <name val="Arial Narrow"/>
      <family val="2"/>
    </font>
    <font>
      <b/>
      <sz val="10"/>
      <color rgb="FF000000"/>
      <name val="Arial Narrow"/>
      <family val="2"/>
    </font>
    <font>
      <u/>
      <sz val="10"/>
      <color rgb="FF000000"/>
      <name val="Arial Narrow"/>
      <family val="2"/>
    </font>
    <font>
      <sz val="11"/>
      <color rgb="FF000000"/>
      <name val="Arial Narrow"/>
      <family val="2"/>
    </font>
    <font>
      <b/>
      <sz val="14"/>
      <color rgb="FF000000"/>
      <name val="Arial Narrow"/>
      <family val="2"/>
    </font>
    <font>
      <b/>
      <i/>
      <sz val="14"/>
      <color rgb="FF000000"/>
      <name val="Arial Narrow"/>
      <family val="2"/>
    </font>
    <font>
      <sz val="10"/>
      <color rgb="FFFF0000"/>
      <name val="Arial Narrow"/>
      <family val="2"/>
    </font>
    <font>
      <sz val="8"/>
      <color rgb="FF000000"/>
      <name val="Arial Narrow"/>
      <family val="2"/>
    </font>
    <font>
      <b/>
      <sz val="12"/>
      <color rgb="FF000000"/>
      <name val="Arial Narrow"/>
      <family val="2"/>
    </font>
    <font>
      <sz val="12"/>
      <color rgb="FF000000"/>
      <name val="Arial Narrow"/>
      <family val="2"/>
    </font>
    <font>
      <b/>
      <sz val="11"/>
      <color rgb="FF000000"/>
      <name val="Arial Narrow"/>
      <family val="2"/>
    </font>
    <font>
      <b/>
      <sz val="12"/>
      <color rgb="FF000000"/>
      <name val="Arial Nova"/>
      <family val="2"/>
    </font>
    <font>
      <sz val="10"/>
      <color rgb="FF000000"/>
      <name val="Arial"/>
      <family val="2"/>
    </font>
    <font>
      <sz val="11"/>
      <name val="Calibri"/>
      <family val="2"/>
    </font>
    <font>
      <sz val="11"/>
      <color rgb="FF000000"/>
      <name val="Calibri"/>
      <family val="2"/>
    </font>
    <font>
      <sz val="11"/>
      <color rgb="FFBDD6EE"/>
      <name val="Calibri"/>
      <family val="2"/>
    </font>
    <font>
      <sz val="10"/>
      <color rgb="FFBDD6EE"/>
      <name val="Arial"/>
      <family val="2"/>
    </font>
    <font>
      <b/>
      <sz val="11"/>
      <color rgb="FF000000"/>
      <name val="Calibri"/>
      <family val="2"/>
    </font>
    <font>
      <u/>
      <sz val="10"/>
      <color rgb="FF0000FF"/>
      <name val="Arial"/>
      <family val="2"/>
    </font>
    <font>
      <b/>
      <i/>
      <sz val="11"/>
      <color rgb="FF000000"/>
      <name val="Calibri"/>
      <family val="2"/>
    </font>
    <font>
      <i/>
      <sz val="11"/>
      <color rgb="FF000000"/>
      <name val="Calibri"/>
      <family val="2"/>
    </font>
    <font>
      <i/>
      <sz val="10"/>
      <color rgb="FF000000"/>
      <name val="Arial"/>
      <family val="2"/>
    </font>
    <font>
      <b/>
      <sz val="14"/>
      <color rgb="FF000000"/>
      <name val="Calibri"/>
      <family val="2"/>
    </font>
    <font>
      <b/>
      <sz val="10"/>
      <color rgb="FF000000"/>
      <name val="Calibri"/>
      <family val="2"/>
    </font>
    <font>
      <sz val="8"/>
      <color rgb="FFFF0000"/>
      <name val="Arial Narrow"/>
      <family val="2"/>
    </font>
    <font>
      <b/>
      <sz val="26"/>
      <name val="Arial"/>
      <family val="2"/>
    </font>
    <font>
      <sz val="11"/>
      <color rgb="FF242424"/>
      <name val="Aptos Narrow"/>
      <family val="2"/>
    </font>
    <font>
      <b/>
      <sz val="9"/>
      <color indexed="81"/>
      <name val="Tahoma"/>
      <family val="2"/>
    </font>
    <font>
      <sz val="9"/>
      <color indexed="81"/>
      <name val="Tahoma"/>
      <family val="2"/>
    </font>
    <font>
      <sz val="10"/>
      <color rgb="FF000000"/>
      <name val="Arial Narrow"/>
      <charset val="1"/>
    </font>
  </fonts>
  <fills count="16">
    <fill>
      <patternFill patternType="none"/>
    </fill>
    <fill>
      <patternFill patternType="gray125"/>
    </fill>
    <fill>
      <patternFill patternType="solid">
        <fgColor rgb="FFDDEBF7"/>
        <bgColor rgb="FF000000"/>
      </patternFill>
    </fill>
    <fill>
      <patternFill patternType="solid">
        <fgColor rgb="FFE2EFDA"/>
        <bgColor rgb="FF000000"/>
      </patternFill>
    </fill>
    <fill>
      <patternFill patternType="solid">
        <fgColor rgb="FFFFFFFF"/>
        <bgColor rgb="FF000000"/>
      </patternFill>
    </fill>
    <fill>
      <patternFill patternType="solid">
        <fgColor rgb="FFE7E6E6"/>
        <bgColor rgb="FF000000"/>
      </patternFill>
    </fill>
    <fill>
      <patternFill patternType="solid">
        <fgColor rgb="FFBDD6EE"/>
        <bgColor rgb="FFBDD6EE"/>
      </patternFill>
    </fill>
    <fill>
      <patternFill patternType="solid">
        <fgColor rgb="FFE2EFDA"/>
        <bgColor rgb="FFBDD6EE"/>
      </patternFill>
    </fill>
    <fill>
      <patternFill patternType="solid">
        <fgColor rgb="FFDEEAF6"/>
        <bgColor rgb="FFDEEAF6"/>
      </patternFill>
    </fill>
    <fill>
      <patternFill patternType="solid">
        <fgColor rgb="FFFFFFFF"/>
        <bgColor rgb="FFDEEAF6"/>
      </patternFill>
    </fill>
    <fill>
      <patternFill patternType="solid">
        <fgColor rgb="FFDDEBF7"/>
        <bgColor rgb="FFBDD6EE"/>
      </patternFill>
    </fill>
    <fill>
      <patternFill patternType="solid">
        <fgColor rgb="FFBDD7EE"/>
        <bgColor rgb="FFBDD6EE"/>
      </patternFill>
    </fill>
    <fill>
      <patternFill patternType="solid">
        <fgColor rgb="FFC6E0B4"/>
        <bgColor rgb="FF000000"/>
      </patternFill>
    </fill>
    <fill>
      <patternFill patternType="solid">
        <fgColor rgb="FFFFFF00"/>
        <bgColor indexed="64"/>
      </patternFill>
    </fill>
    <fill>
      <patternFill patternType="solid">
        <fgColor theme="2"/>
        <bgColor indexed="64"/>
      </patternFill>
    </fill>
    <fill>
      <patternFill patternType="solid">
        <fgColor theme="4" tint="0.79998168889431442"/>
        <bgColor theme="4" tint="0.79998168889431442"/>
      </patternFill>
    </fill>
  </fills>
  <borders count="19">
    <border>
      <left/>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diagonal/>
    </border>
    <border>
      <left style="thin">
        <color rgb="FFBDD6EE"/>
      </left>
      <right/>
      <top style="thin">
        <color rgb="FFBDD6EE"/>
      </top>
      <bottom/>
      <diagonal/>
    </border>
    <border>
      <left/>
      <right/>
      <top style="thin">
        <color rgb="FFBDD6EE"/>
      </top>
      <bottom/>
      <diagonal/>
    </border>
    <border>
      <left style="thin">
        <color rgb="FFBDD6EE"/>
      </left>
      <right/>
      <top/>
      <bottom/>
      <diagonal/>
    </border>
  </borders>
  <cellStyleXfs count="1">
    <xf numFmtId="0" fontId="0" fillId="0" borderId="0"/>
  </cellStyleXfs>
  <cellXfs count="192">
    <xf numFmtId="0" fontId="0" fillId="0" borderId="0" xfId="0"/>
    <xf numFmtId="0" fontId="1" fillId="0" borderId="0" xfId="0" applyFont="1"/>
    <xf numFmtId="0" fontId="4" fillId="0" borderId="0" xfId="0" applyFont="1"/>
    <xf numFmtId="0" fontId="1" fillId="0" borderId="0" xfId="0" applyFont="1" applyAlignment="1">
      <alignment horizontal="center"/>
    </xf>
    <xf numFmtId="0" fontId="4" fillId="0" borderId="0" xfId="0" applyFont="1" applyAlignment="1">
      <alignment horizontal="right"/>
    </xf>
    <xf numFmtId="0" fontId="4" fillId="0" borderId="0" xfId="0" applyFont="1" applyAlignment="1">
      <alignment horizontal="center"/>
    </xf>
    <xf numFmtId="0" fontId="5" fillId="0" borderId="0" xfId="0" applyFont="1" applyAlignment="1">
      <alignment vertical="center" wrapText="1"/>
    </xf>
    <xf numFmtId="0" fontId="5" fillId="0" borderId="0" xfId="0" applyFont="1" applyAlignment="1">
      <alignment horizontal="center"/>
    </xf>
    <xf numFmtId="0" fontId="2" fillId="0" borderId="10" xfId="0" applyFont="1" applyBorder="1" applyAlignment="1">
      <alignment horizontal="center" vertical="center" wrapText="1"/>
    </xf>
    <xf numFmtId="0" fontId="2" fillId="0" borderId="2" xfId="0" applyFont="1" applyBorder="1" applyAlignment="1">
      <alignment horizontal="center" vertical="center" wrapText="1"/>
    </xf>
    <xf numFmtId="0" fontId="7" fillId="0" borderId="0" xfId="0" applyFont="1"/>
    <xf numFmtId="0" fontId="1" fillId="0" borderId="2" xfId="0" applyFont="1" applyBorder="1" applyAlignment="1">
      <alignment horizontal="center" vertical="center" wrapText="1"/>
    </xf>
    <xf numFmtId="0" fontId="8" fillId="0" borderId="0" xfId="0" applyFont="1"/>
    <xf numFmtId="0" fontId="8" fillId="0" borderId="0" xfId="0" applyFont="1" applyAlignment="1">
      <alignment horizontal="left" vertical="center"/>
    </xf>
    <xf numFmtId="0" fontId="2" fillId="0" borderId="12" xfId="0" applyFont="1" applyBorder="1" applyAlignment="1">
      <alignment horizontal="center" vertical="center" wrapText="1"/>
    </xf>
    <xf numFmtId="0" fontId="1" fillId="0" borderId="2" xfId="0" applyFont="1" applyBorder="1" applyAlignment="1">
      <alignment horizontal="center" vertical="center"/>
    </xf>
    <xf numFmtId="0" fontId="2" fillId="3" borderId="2" xfId="0" applyFont="1" applyFill="1" applyBorder="1" applyAlignment="1">
      <alignment horizontal="center" vertical="center" wrapText="1"/>
    </xf>
    <xf numFmtId="0" fontId="1" fillId="4" borderId="0" xfId="0" applyFont="1" applyFill="1"/>
    <xf numFmtId="0" fontId="4" fillId="4" borderId="0" xfId="0" applyFont="1" applyFill="1"/>
    <xf numFmtId="0" fontId="1" fillId="0" borderId="11" xfId="0" applyFont="1" applyBorder="1" applyAlignment="1">
      <alignment horizontal="center" vertical="center"/>
    </xf>
    <xf numFmtId="0" fontId="1" fillId="0" borderId="0" xfId="0" applyFont="1" applyAlignment="1">
      <alignment horizontal="left" vertical="top"/>
    </xf>
    <xf numFmtId="0" fontId="1" fillId="0" borderId="1" xfId="0" applyFont="1" applyBorder="1" applyAlignment="1">
      <alignment horizontal="center" vertical="center" wrapText="1"/>
    </xf>
    <xf numFmtId="0" fontId="9" fillId="2" borderId="2" xfId="0" applyFont="1" applyFill="1" applyBorder="1" applyAlignment="1">
      <alignment horizontal="center"/>
    </xf>
    <xf numFmtId="0" fontId="9" fillId="2" borderId="2" xfId="0" applyFont="1" applyFill="1" applyBorder="1" applyAlignment="1">
      <alignment horizontal="right"/>
    </xf>
    <xf numFmtId="0" fontId="2" fillId="0" borderId="2" xfId="0" applyFont="1" applyBorder="1" applyAlignment="1">
      <alignment horizontal="center" wrapText="1"/>
    </xf>
    <xf numFmtId="0" fontId="2" fillId="0" borderId="2" xfId="0" applyFont="1" applyBorder="1" applyAlignment="1">
      <alignment horizontal="center"/>
    </xf>
    <xf numFmtId="0" fontId="13" fillId="6" borderId="0" xfId="0" applyFont="1" applyFill="1" applyAlignment="1">
      <alignment horizontal="left" vertical="center"/>
    </xf>
    <xf numFmtId="0" fontId="14" fillId="6" borderId="16" xfId="0" applyFont="1" applyFill="1" applyBorder="1" applyAlignment="1">
      <alignment horizontal="right" vertical="center"/>
    </xf>
    <xf numFmtId="0" fontId="16" fillId="6" borderId="17" xfId="0" applyFont="1" applyFill="1" applyBorder="1"/>
    <xf numFmtId="0" fontId="15" fillId="6" borderId="18" xfId="0" applyFont="1" applyFill="1" applyBorder="1" applyAlignment="1">
      <alignment horizontal="right" vertical="center"/>
    </xf>
    <xf numFmtId="0" fontId="15" fillId="6" borderId="0" xfId="0" applyFont="1" applyFill="1"/>
    <xf numFmtId="0" fontId="13" fillId="6" borderId="0" xfId="0" applyFont="1" applyFill="1" applyAlignment="1">
      <alignment horizontal="right" vertical="center"/>
    </xf>
    <xf numFmtId="0" fontId="17" fillId="6" borderId="0" xfId="0" applyFont="1" applyFill="1" applyAlignment="1">
      <alignment horizontal="center"/>
    </xf>
    <xf numFmtId="0" fontId="16" fillId="6" borderId="18" xfId="0" applyFont="1" applyFill="1" applyBorder="1"/>
    <xf numFmtId="0" fontId="16" fillId="6" borderId="0" xfId="0" applyFont="1" applyFill="1"/>
    <xf numFmtId="0" fontId="16" fillId="6" borderId="0" xfId="0" applyFont="1" applyFill="1" applyAlignment="1">
      <alignment horizontal="center"/>
    </xf>
    <xf numFmtId="0" fontId="13" fillId="6" borderId="0" xfId="0" applyFont="1" applyFill="1" applyAlignment="1">
      <alignment horizontal="center"/>
    </xf>
    <xf numFmtId="0" fontId="18" fillId="6" borderId="18" xfId="0" applyFont="1" applyFill="1" applyBorder="1" applyAlignment="1">
      <alignment horizontal="center" wrapText="1"/>
    </xf>
    <xf numFmtId="0" fontId="18" fillId="6" borderId="0" xfId="0" applyFont="1" applyFill="1" applyAlignment="1">
      <alignment horizontal="center" wrapText="1"/>
    </xf>
    <xf numFmtId="0" fontId="18" fillId="6" borderId="0" xfId="0" applyFont="1" applyFill="1" applyAlignment="1">
      <alignment horizontal="center" vertical="center" wrapText="1"/>
    </xf>
    <xf numFmtId="0" fontId="18" fillId="6" borderId="0" xfId="0" applyFont="1" applyFill="1" applyAlignment="1">
      <alignment horizontal="center" vertical="center"/>
    </xf>
    <xf numFmtId="0" fontId="19" fillId="6" borderId="0" xfId="0" applyFont="1" applyFill="1" applyAlignment="1">
      <alignment horizontal="center"/>
    </xf>
    <xf numFmtId="0" fontId="15" fillId="0" borderId="18" xfId="0" applyFont="1" applyBorder="1" applyAlignment="1">
      <alignment horizontal="center" vertical="top" wrapText="1"/>
    </xf>
    <xf numFmtId="0" fontId="15" fillId="0" borderId="0" xfId="0" applyFont="1" applyAlignment="1">
      <alignment horizontal="center" vertical="top" wrapText="1"/>
    </xf>
    <xf numFmtId="0" fontId="15" fillId="0" borderId="0" xfId="0" applyFont="1" applyAlignment="1">
      <alignment horizontal="center" vertical="center"/>
    </xf>
    <xf numFmtId="10" fontId="15" fillId="0" borderId="0" xfId="0" applyNumberFormat="1" applyFont="1" applyAlignment="1">
      <alignment horizontal="center" vertical="center"/>
    </xf>
    <xf numFmtId="0" fontId="15" fillId="8" borderId="18" xfId="0" applyFont="1" applyFill="1" applyBorder="1" applyAlignment="1">
      <alignment horizontal="center" vertical="top" wrapText="1"/>
    </xf>
    <xf numFmtId="0" fontId="15" fillId="8" borderId="0" xfId="0" applyFont="1" applyFill="1" applyAlignment="1">
      <alignment horizontal="center" vertical="top" wrapText="1"/>
    </xf>
    <xf numFmtId="0" fontId="15" fillId="8" borderId="0" xfId="0" applyFont="1" applyFill="1" applyAlignment="1">
      <alignment horizontal="center" vertical="center"/>
    </xf>
    <xf numFmtId="10" fontId="15" fillId="2" borderId="0" xfId="0" applyNumberFormat="1" applyFont="1" applyFill="1" applyAlignment="1">
      <alignment horizontal="center" vertical="center"/>
    </xf>
    <xf numFmtId="0" fontId="15" fillId="2" borderId="18" xfId="0" applyFont="1" applyFill="1" applyBorder="1" applyAlignment="1">
      <alignment horizontal="center" vertical="top" wrapText="1"/>
    </xf>
    <xf numFmtId="0" fontId="15" fillId="2" borderId="0" xfId="0" applyFont="1" applyFill="1" applyAlignment="1">
      <alignment horizontal="center" vertical="top" wrapText="1"/>
    </xf>
    <xf numFmtId="0" fontId="15" fillId="2" borderId="0" xfId="0" applyFont="1" applyFill="1" applyAlignment="1">
      <alignment horizontal="center" vertical="center"/>
    </xf>
    <xf numFmtId="0" fontId="18" fillId="9" borderId="18" xfId="0" applyFont="1" applyFill="1" applyBorder="1" applyAlignment="1">
      <alignment horizontal="right" vertical="center" wrapText="1"/>
    </xf>
    <xf numFmtId="0" fontId="18" fillId="9" borderId="0" xfId="0" applyFont="1" applyFill="1" applyAlignment="1">
      <alignment horizontal="center" vertical="center" wrapText="1"/>
    </xf>
    <xf numFmtId="0" fontId="20" fillId="6" borderId="18" xfId="0" applyFont="1" applyFill="1" applyBorder="1" applyAlignment="1">
      <alignment horizontal="right"/>
    </xf>
    <xf numFmtId="9" fontId="20" fillId="10" borderId="0" xfId="0" applyNumberFormat="1" applyFont="1" applyFill="1" applyAlignment="1">
      <alignment horizontal="center"/>
    </xf>
    <xf numFmtId="0" fontId="21" fillId="11" borderId="18" xfId="0" applyFont="1" applyFill="1" applyBorder="1" applyAlignment="1">
      <alignment horizontal="right"/>
    </xf>
    <xf numFmtId="0" fontId="21" fillId="11" borderId="0" xfId="0" applyFont="1" applyFill="1" applyAlignment="1">
      <alignment horizontal="right"/>
    </xf>
    <xf numFmtId="0" fontId="15" fillId="0" borderId="2" xfId="0" applyFont="1" applyBorder="1"/>
    <xf numFmtId="0" fontId="24" fillId="0" borderId="2" xfId="0" applyFont="1" applyBorder="1" applyAlignment="1">
      <alignment horizontal="center" vertical="center" wrapText="1"/>
    </xf>
    <xf numFmtId="16" fontId="18" fillId="12" borderId="2" xfId="0" applyNumberFormat="1" applyFont="1" applyFill="1" applyBorder="1"/>
    <xf numFmtId="16" fontId="18" fillId="3" borderId="2" xfId="0" applyNumberFormat="1" applyFont="1" applyFill="1" applyBorder="1"/>
    <xf numFmtId="0" fontId="1" fillId="0" borderId="15" xfId="0" applyFont="1" applyBorder="1" applyAlignment="1">
      <alignment horizontal="center" vertical="center"/>
    </xf>
    <xf numFmtId="0" fontId="8" fillId="0" borderId="0" xfId="0" applyFont="1" applyAlignment="1">
      <alignment horizontal="center"/>
    </xf>
    <xf numFmtId="0" fontId="25" fillId="0" borderId="0" xfId="0" applyFont="1"/>
    <xf numFmtId="0" fontId="11" fillId="3" borderId="2" xfId="0" applyFont="1" applyFill="1" applyBorder="1" applyAlignment="1">
      <alignment horizontal="center" wrapText="1"/>
    </xf>
    <xf numFmtId="0" fontId="11" fillId="3" borderId="2" xfId="0" applyFont="1" applyFill="1" applyBorder="1" applyAlignment="1">
      <alignment horizontal="center" vertical="center" wrapText="1"/>
    </xf>
    <xf numFmtId="0" fontId="11" fillId="2" borderId="2" xfId="0" applyFont="1" applyFill="1" applyBorder="1" applyAlignment="1">
      <alignment horizontal="center"/>
    </xf>
    <xf numFmtId="0" fontId="11" fillId="2" borderId="2" xfId="0" applyFont="1" applyFill="1" applyBorder="1" applyAlignment="1">
      <alignment horizontal="right"/>
    </xf>
    <xf numFmtId="0" fontId="0" fillId="0" borderId="0" xfId="0" applyAlignment="1">
      <alignment horizontal="center"/>
    </xf>
    <xf numFmtId="49" fontId="0" fillId="0" borderId="0" xfId="0" applyNumberFormat="1"/>
    <xf numFmtId="0" fontId="0" fillId="15" borderId="2" xfId="0" applyFill="1" applyBorder="1" applyAlignment="1">
      <alignment horizontal="center"/>
    </xf>
    <xf numFmtId="0" fontId="0" fillId="0" borderId="2" xfId="0" applyBorder="1" applyAlignment="1">
      <alignment horizontal="center"/>
    </xf>
    <xf numFmtId="0" fontId="27" fillId="0" borderId="0" xfId="0" applyFont="1"/>
    <xf numFmtId="0" fontId="0" fillId="15" borderId="11" xfId="0" applyFill="1" applyBorder="1" applyAlignment="1">
      <alignment horizontal="center"/>
    </xf>
    <xf numFmtId="0" fontId="1" fillId="0" borderId="2" xfId="0" applyFont="1" applyBorder="1" applyAlignment="1" applyProtection="1">
      <alignment horizontal="center" vertical="center" wrapText="1"/>
      <protection locked="0"/>
    </xf>
    <xf numFmtId="0" fontId="18" fillId="9" borderId="0" xfId="0" applyFont="1" applyFill="1" applyAlignment="1">
      <alignment horizontal="center" vertical="center"/>
    </xf>
    <xf numFmtId="10" fontId="18" fillId="4" borderId="0" xfId="0" applyNumberFormat="1" applyFont="1" applyFill="1" applyAlignment="1">
      <alignment horizontal="center" vertical="center"/>
    </xf>
    <xf numFmtId="0" fontId="15" fillId="0" borderId="0" xfId="0" applyFont="1" applyAlignment="1">
      <alignment horizontal="center" vertical="center" wrapText="1"/>
    </xf>
    <xf numFmtId="0" fontId="21" fillId="12" borderId="2" xfId="0" applyFont="1" applyFill="1" applyBorder="1" applyAlignment="1" applyProtection="1">
      <alignment horizontal="center" vertical="center"/>
      <protection locked="0"/>
    </xf>
    <xf numFmtId="0" fontId="15" fillId="12" borderId="2" xfId="0" applyFont="1" applyFill="1" applyBorder="1" applyAlignment="1" applyProtection="1">
      <alignment horizontal="center" vertical="center"/>
      <protection locked="0"/>
    </xf>
    <xf numFmtId="0" fontId="15" fillId="12" borderId="2" xfId="0" applyFont="1" applyFill="1" applyBorder="1" applyProtection="1">
      <protection locked="0"/>
    </xf>
    <xf numFmtId="0" fontId="21" fillId="3" borderId="2" xfId="0" applyFont="1" applyFill="1" applyBorder="1" applyAlignment="1" applyProtection="1">
      <alignment horizontal="center" vertical="center"/>
      <protection locked="0"/>
    </xf>
    <xf numFmtId="0" fontId="15" fillId="3" borderId="2" xfId="0" applyFont="1" applyFill="1" applyBorder="1" applyAlignment="1" applyProtection="1">
      <alignment horizontal="center" vertical="center"/>
      <protection locked="0"/>
    </xf>
    <xf numFmtId="0" fontId="15" fillId="3" borderId="2" xfId="0" applyFont="1" applyFill="1" applyBorder="1" applyProtection="1">
      <protection locked="0"/>
    </xf>
    <xf numFmtId="0" fontId="2" fillId="0" borderId="5" xfId="0" applyFont="1" applyBorder="1" applyAlignment="1" applyProtection="1">
      <alignment horizontal="center" vertical="center" wrapText="1"/>
      <protection locked="0"/>
    </xf>
    <xf numFmtId="0" fontId="2" fillId="0" borderId="11" xfId="0" applyFont="1" applyBorder="1" applyAlignment="1" applyProtection="1">
      <alignment horizontal="center" vertical="center" wrapText="1"/>
      <protection locked="0"/>
    </xf>
    <xf numFmtId="0" fontId="2" fillId="0" borderId="2" xfId="0" applyFont="1" applyBorder="1" applyAlignment="1" applyProtection="1">
      <alignment horizontal="center" vertical="center" wrapText="1"/>
      <protection locked="0"/>
    </xf>
    <xf numFmtId="0" fontId="1" fillId="14" borderId="2" xfId="0" applyFont="1" applyFill="1" applyBorder="1" applyAlignment="1" applyProtection="1">
      <alignment horizontal="center" vertical="center"/>
      <protection locked="0"/>
    </xf>
    <xf numFmtId="0" fontId="1" fillId="5" borderId="2" xfId="0" applyFont="1" applyFill="1" applyBorder="1" applyAlignment="1" applyProtection="1">
      <alignment horizontal="left" vertical="center" wrapText="1"/>
      <protection locked="0"/>
    </xf>
    <xf numFmtId="0" fontId="2" fillId="0" borderId="11" xfId="0" applyFont="1" applyBorder="1" applyAlignment="1" applyProtection="1">
      <alignment horizontal="center" vertical="center"/>
      <protection locked="0"/>
    </xf>
    <xf numFmtId="0" fontId="1" fillId="0" borderId="2" xfId="0" applyFont="1" applyBorder="1" applyAlignment="1" applyProtection="1">
      <alignment horizontal="center" vertical="center"/>
      <protection locked="0"/>
    </xf>
    <xf numFmtId="0" fontId="1" fillId="0" borderId="2" xfId="0" applyFont="1" applyBorder="1" applyAlignment="1" applyProtection="1">
      <alignment vertical="center"/>
      <protection locked="0"/>
    </xf>
    <xf numFmtId="0" fontId="2" fillId="0" borderId="2" xfId="0" applyFont="1" applyBorder="1" applyAlignment="1" applyProtection="1">
      <alignment horizontal="center" vertical="center"/>
      <protection locked="0"/>
    </xf>
    <xf numFmtId="0" fontId="4" fillId="0" borderId="1" xfId="0" applyFont="1" applyBorder="1" applyProtection="1">
      <protection locked="0"/>
    </xf>
    <xf numFmtId="0" fontId="1" fillId="5" borderId="13" xfId="0" applyFont="1" applyFill="1" applyBorder="1" applyAlignment="1" applyProtection="1">
      <alignment vertical="center"/>
      <protection locked="0"/>
    </xf>
    <xf numFmtId="0" fontId="1" fillId="5" borderId="10" xfId="0" applyFont="1" applyFill="1" applyBorder="1" applyAlignment="1" applyProtection="1">
      <alignment vertical="center"/>
      <protection locked="0"/>
    </xf>
    <xf numFmtId="0" fontId="1" fillId="5" borderId="2" xfId="0" applyFont="1" applyFill="1" applyBorder="1" applyAlignment="1" applyProtection="1">
      <alignment vertical="center"/>
      <protection locked="0"/>
    </xf>
    <xf numFmtId="0" fontId="1" fillId="5" borderId="2" xfId="0" applyFont="1" applyFill="1" applyBorder="1" applyAlignment="1" applyProtection="1">
      <alignment horizontal="center" vertical="center" wrapText="1"/>
      <protection locked="0"/>
    </xf>
    <xf numFmtId="0" fontId="4" fillId="0" borderId="2" xfId="0" applyFont="1" applyBorder="1" applyAlignment="1" applyProtection="1">
      <alignment horizontal="center" vertical="center"/>
      <protection locked="0"/>
    </xf>
    <xf numFmtId="0" fontId="1" fillId="14" borderId="2" xfId="0" applyFont="1" applyFill="1" applyBorder="1" applyAlignment="1" applyProtection="1">
      <alignment horizontal="center" vertical="center" wrapText="1"/>
      <protection locked="0"/>
    </xf>
    <xf numFmtId="0" fontId="30" fillId="14" borderId="0" xfId="0" applyFont="1" applyFill="1" applyAlignment="1">
      <alignment wrapText="1"/>
    </xf>
    <xf numFmtId="10" fontId="15" fillId="3" borderId="2" xfId="0" applyNumberFormat="1" applyFont="1" applyFill="1" applyBorder="1" applyAlignment="1" applyProtection="1">
      <alignment horizontal="center" vertical="center"/>
      <protection locked="0"/>
    </xf>
    <xf numFmtId="0" fontId="15" fillId="12" borderId="13" xfId="0" applyFont="1" applyFill="1" applyBorder="1" applyAlignment="1" applyProtection="1">
      <alignment horizontal="center" vertical="center"/>
      <protection locked="0"/>
    </xf>
    <xf numFmtId="0" fontId="15" fillId="12" borderId="10" xfId="0" applyFont="1" applyFill="1" applyBorder="1" applyAlignment="1" applyProtection="1">
      <alignment horizontal="center" vertical="center"/>
      <protection locked="0"/>
    </xf>
    <xf numFmtId="10" fontId="15" fillId="3" borderId="13" xfId="0" applyNumberFormat="1" applyFont="1" applyFill="1" applyBorder="1" applyAlignment="1" applyProtection="1">
      <alignment horizontal="center" vertical="center"/>
      <protection locked="0"/>
    </xf>
    <xf numFmtId="0" fontId="15" fillId="3" borderId="10" xfId="0" applyFont="1" applyFill="1" applyBorder="1" applyAlignment="1" applyProtection="1">
      <alignment horizontal="center" vertical="center"/>
      <protection locked="0"/>
    </xf>
    <xf numFmtId="0" fontId="15" fillId="3" borderId="13" xfId="0" applyFont="1" applyFill="1" applyBorder="1" applyAlignment="1" applyProtection="1">
      <alignment horizontal="center" vertical="center"/>
      <protection locked="0"/>
    </xf>
    <xf numFmtId="0" fontId="26" fillId="4" borderId="0" xfId="0" applyFont="1" applyFill="1" applyAlignment="1">
      <alignment horizontal="center"/>
    </xf>
    <xf numFmtId="0" fontId="15" fillId="7" borderId="13" xfId="0" applyFont="1" applyFill="1" applyBorder="1" applyAlignment="1" applyProtection="1">
      <alignment horizontal="center" vertical="center"/>
      <protection locked="0"/>
    </xf>
    <xf numFmtId="0" fontId="15" fillId="7" borderId="10" xfId="0" applyFont="1" applyFill="1" applyBorder="1" applyAlignment="1" applyProtection="1">
      <alignment horizontal="center" vertical="center"/>
      <protection locked="0"/>
    </xf>
    <xf numFmtId="0" fontId="15" fillId="6" borderId="0" xfId="0" applyFont="1" applyFill="1" applyAlignment="1">
      <alignment horizontal="center"/>
    </xf>
    <xf numFmtId="14" fontId="15" fillId="7" borderId="13" xfId="0" applyNumberFormat="1" applyFont="1" applyFill="1" applyBorder="1" applyAlignment="1" applyProtection="1">
      <alignment horizontal="center" vertical="center"/>
      <protection locked="0"/>
    </xf>
    <xf numFmtId="0" fontId="22" fillId="0" borderId="0" xfId="0" applyFont="1" applyAlignment="1">
      <alignment horizontal="center" vertical="top" wrapText="1"/>
    </xf>
    <xf numFmtId="0" fontId="23" fillId="0" borderId="0" xfId="0" applyFont="1" applyAlignment="1">
      <alignment horizontal="center"/>
    </xf>
    <xf numFmtId="0" fontId="21" fillId="0" borderId="1" xfId="0" applyFont="1" applyBorder="1" applyAlignment="1">
      <alignment horizontal="center"/>
    </xf>
    <xf numFmtId="0" fontId="24" fillId="0" borderId="13" xfId="0" applyFont="1" applyBorder="1" applyAlignment="1">
      <alignment horizontal="center" vertical="center" wrapText="1"/>
    </xf>
    <xf numFmtId="0" fontId="24" fillId="0" borderId="10" xfId="0" applyFont="1" applyBorder="1" applyAlignment="1">
      <alignment horizontal="center" vertical="center" wrapText="1"/>
    </xf>
    <xf numFmtId="0" fontId="1" fillId="0" borderId="0" xfId="0" applyFont="1"/>
    <xf numFmtId="0" fontId="2" fillId="0" borderId="13" xfId="0" applyFont="1" applyBorder="1" applyAlignment="1">
      <alignment horizontal="left" vertical="center" wrapText="1"/>
    </xf>
    <xf numFmtId="0" fontId="2" fillId="0" borderId="14" xfId="0" applyFont="1" applyBorder="1" applyAlignment="1">
      <alignment horizontal="left" vertical="center" wrapText="1"/>
    </xf>
    <xf numFmtId="0" fontId="2" fillId="0" borderId="10" xfId="0" applyFont="1" applyBorder="1" applyAlignment="1">
      <alignment horizontal="left" vertical="center" wrapText="1"/>
    </xf>
    <xf numFmtId="0" fontId="1" fillId="0" borderId="13" xfId="0" applyFont="1" applyBorder="1" applyAlignment="1" applyProtection="1">
      <alignment horizontal="center" vertical="center" wrapText="1"/>
      <protection locked="0"/>
    </xf>
    <xf numFmtId="0" fontId="1" fillId="0" borderId="10" xfId="0" applyFont="1" applyBorder="1" applyAlignment="1" applyProtection="1">
      <alignment horizontal="center" vertical="center" wrapText="1"/>
      <protection locked="0"/>
    </xf>
    <xf numFmtId="0" fontId="1" fillId="0" borderId="4" xfId="0" applyFont="1" applyBorder="1"/>
    <xf numFmtId="0" fontId="11" fillId="2" borderId="13" xfId="0" applyFont="1" applyFill="1" applyBorder="1" applyAlignment="1">
      <alignment horizontal="right"/>
    </xf>
    <xf numFmtId="0" fontId="11" fillId="2" borderId="14" xfId="0" applyFont="1" applyFill="1" applyBorder="1" applyAlignment="1">
      <alignment horizontal="right"/>
    </xf>
    <xf numFmtId="0" fontId="11" fillId="2" borderId="10" xfId="0" applyFont="1" applyFill="1" applyBorder="1" applyAlignment="1">
      <alignment horizontal="right"/>
    </xf>
    <xf numFmtId="0" fontId="2" fillId="0" borderId="13" xfId="0" applyFont="1" applyBorder="1" applyAlignment="1">
      <alignment horizontal="left" vertical="top" wrapText="1"/>
    </xf>
    <xf numFmtId="0" fontId="2" fillId="0" borderId="14" xfId="0" applyFont="1" applyBorder="1" applyAlignment="1">
      <alignment horizontal="left" vertical="top" wrapText="1"/>
    </xf>
    <xf numFmtId="0" fontId="2" fillId="0" borderId="10" xfId="0" applyFont="1" applyBorder="1" applyAlignment="1">
      <alignment horizontal="left" vertical="top" wrapText="1"/>
    </xf>
    <xf numFmtId="0" fontId="2" fillId="2" borderId="11" xfId="0" applyFont="1" applyFill="1" applyBorder="1" applyAlignment="1">
      <alignment horizontal="center" vertical="center"/>
    </xf>
    <xf numFmtId="0" fontId="2" fillId="2" borderId="12" xfId="0" applyFont="1" applyFill="1" applyBorder="1" applyAlignment="1">
      <alignment horizontal="center" vertical="center"/>
    </xf>
    <xf numFmtId="0" fontId="2" fillId="5" borderId="13" xfId="0" applyFont="1" applyFill="1" applyBorder="1" applyAlignment="1">
      <alignment horizontal="right" vertical="center" wrapText="1"/>
    </xf>
    <xf numFmtId="0" fontId="2" fillId="5" borderId="14" xfId="0" applyFont="1" applyFill="1" applyBorder="1" applyAlignment="1">
      <alignment horizontal="right" vertical="center" wrapText="1"/>
    </xf>
    <xf numFmtId="0" fontId="2" fillId="5" borderId="10" xfId="0" applyFont="1" applyFill="1" applyBorder="1" applyAlignment="1">
      <alignment horizontal="right" vertical="center" wrapText="1"/>
    </xf>
    <xf numFmtId="0" fontId="1" fillId="5" borderId="13" xfId="0" applyFont="1" applyFill="1" applyBorder="1" applyAlignment="1" applyProtection="1">
      <alignment horizontal="center" vertical="center" wrapText="1"/>
      <protection locked="0"/>
    </xf>
    <xf numFmtId="0" fontId="1" fillId="5" borderId="14" xfId="0" applyFont="1" applyFill="1" applyBorder="1" applyAlignment="1" applyProtection="1">
      <alignment horizontal="center" vertical="center" wrapText="1"/>
      <protection locked="0"/>
    </xf>
    <xf numFmtId="0" fontId="1" fillId="5" borderId="10" xfId="0" applyFont="1" applyFill="1" applyBorder="1" applyAlignment="1" applyProtection="1">
      <alignment horizontal="center" vertical="center" wrapText="1"/>
      <protection locked="0"/>
    </xf>
    <xf numFmtId="0" fontId="11" fillId="13" borderId="0" xfId="0" applyFont="1" applyFill="1" applyAlignment="1">
      <alignment horizontal="center"/>
    </xf>
    <xf numFmtId="0" fontId="2" fillId="0" borderId="13" xfId="0" applyFont="1" applyBorder="1" applyAlignment="1" applyProtection="1">
      <alignment horizontal="center" vertical="center"/>
      <protection locked="0"/>
    </xf>
    <xf numFmtId="0" fontId="2" fillId="0" borderId="10" xfId="0" applyFont="1" applyBorder="1" applyAlignment="1" applyProtection="1">
      <alignment horizontal="center" vertical="center"/>
      <protection locked="0"/>
    </xf>
    <xf numFmtId="0" fontId="2" fillId="2" borderId="11" xfId="0" applyFont="1" applyFill="1" applyBorder="1" applyAlignment="1">
      <alignment horizontal="center" vertical="center" wrapText="1"/>
    </xf>
    <xf numFmtId="0" fontId="2" fillId="2" borderId="15" xfId="0" applyFont="1" applyFill="1" applyBorder="1" applyAlignment="1">
      <alignment horizontal="center" vertical="center" wrapText="1"/>
    </xf>
    <xf numFmtId="0" fontId="2" fillId="2" borderId="12" xfId="0" applyFont="1" applyFill="1" applyBorder="1" applyAlignment="1">
      <alignment horizontal="center" vertical="center" wrapText="1"/>
    </xf>
    <xf numFmtId="0" fontId="1" fillId="0" borderId="13" xfId="0" applyFont="1" applyBorder="1" applyAlignment="1" applyProtection="1">
      <alignment horizontal="center" vertical="center"/>
      <protection locked="0"/>
    </xf>
    <xf numFmtId="0" fontId="1" fillId="0" borderId="10" xfId="0" applyFont="1" applyBorder="1" applyAlignment="1" applyProtection="1">
      <alignment horizontal="center" vertical="center"/>
      <protection locked="0"/>
    </xf>
    <xf numFmtId="0" fontId="12" fillId="3" borderId="13" xfId="0" applyFont="1" applyFill="1" applyBorder="1" applyAlignment="1">
      <alignment horizontal="center"/>
    </xf>
    <xf numFmtId="0" fontId="12" fillId="3" borderId="14" xfId="0" applyFont="1" applyFill="1" applyBorder="1" applyAlignment="1">
      <alignment horizontal="center"/>
    </xf>
    <xf numFmtId="0" fontId="12" fillId="3" borderId="10" xfId="0" applyFont="1" applyFill="1" applyBorder="1" applyAlignment="1">
      <alignment horizontal="center"/>
    </xf>
    <xf numFmtId="0" fontId="9" fillId="3" borderId="13" xfId="0" applyFont="1" applyFill="1" applyBorder="1" applyAlignment="1">
      <alignment horizontal="center"/>
    </xf>
    <xf numFmtId="0" fontId="9" fillId="3" borderId="14" xfId="0" applyFont="1" applyFill="1" applyBorder="1" applyAlignment="1">
      <alignment horizontal="center"/>
    </xf>
    <xf numFmtId="0" fontId="9" fillId="3" borderId="10" xfId="0" applyFont="1" applyFill="1" applyBorder="1" applyAlignment="1">
      <alignment horizontal="center"/>
    </xf>
    <xf numFmtId="17" fontId="1" fillId="0" borderId="1" xfId="0" applyNumberFormat="1" applyFont="1" applyBorder="1" applyAlignment="1" applyProtection="1">
      <alignment horizontal="center"/>
      <protection locked="0"/>
    </xf>
    <xf numFmtId="0" fontId="1" fillId="0" borderId="1" xfId="0" applyFont="1" applyBorder="1" applyAlignment="1" applyProtection="1">
      <alignment horizontal="center"/>
      <protection locked="0"/>
    </xf>
    <xf numFmtId="0" fontId="4" fillId="0" borderId="0" xfId="0" applyFont="1"/>
    <xf numFmtId="0" fontId="5" fillId="2" borderId="3" xfId="0" applyFont="1" applyFill="1" applyBorder="1" applyAlignment="1">
      <alignment horizontal="center" vertical="center" wrapText="1"/>
    </xf>
    <xf numFmtId="0" fontId="5" fillId="2" borderId="4" xfId="0" applyFont="1" applyFill="1" applyBorder="1" applyAlignment="1">
      <alignment horizontal="center" vertical="center" wrapText="1"/>
    </xf>
    <xf numFmtId="0" fontId="5" fillId="2" borderId="5" xfId="0" applyFont="1" applyFill="1" applyBorder="1" applyAlignment="1">
      <alignment horizontal="center" vertical="center" wrapText="1"/>
    </xf>
    <xf numFmtId="0" fontId="5" fillId="2" borderId="6" xfId="0" applyFont="1" applyFill="1" applyBorder="1" applyAlignment="1">
      <alignment horizontal="center" vertical="center" wrapText="1"/>
    </xf>
    <xf numFmtId="0" fontId="5" fillId="2" borderId="0" xfId="0" applyFont="1" applyFill="1" applyAlignment="1">
      <alignment horizontal="center" vertical="center" wrapText="1"/>
    </xf>
    <xf numFmtId="0" fontId="5" fillId="2" borderId="7" xfId="0" applyFont="1" applyFill="1" applyBorder="1" applyAlignment="1">
      <alignment horizontal="center" vertical="center" wrapText="1"/>
    </xf>
    <xf numFmtId="0" fontId="5" fillId="2" borderId="8"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5" fillId="2" borderId="9" xfId="0" applyFont="1" applyFill="1" applyBorder="1" applyAlignment="1">
      <alignment horizontal="center" vertical="center" wrapText="1"/>
    </xf>
    <xf numFmtId="0" fontId="9" fillId="3" borderId="13" xfId="0" applyFont="1" applyFill="1" applyBorder="1" applyAlignment="1">
      <alignment horizontal="center" vertical="center" wrapText="1"/>
    </xf>
    <xf numFmtId="0" fontId="9" fillId="3" borderId="14" xfId="0" applyFont="1" applyFill="1" applyBorder="1" applyAlignment="1">
      <alignment horizontal="center" vertical="center" wrapText="1"/>
    </xf>
    <xf numFmtId="0" fontId="9" fillId="3" borderId="10" xfId="0" applyFont="1" applyFill="1" applyBorder="1" applyAlignment="1">
      <alignment horizontal="center" vertical="center" wrapText="1"/>
    </xf>
    <xf numFmtId="0" fontId="1" fillId="0" borderId="13" xfId="0" applyFont="1" applyBorder="1" applyAlignment="1">
      <alignment horizontal="left" vertical="top" wrapText="1"/>
    </xf>
    <xf numFmtId="0" fontId="1" fillId="0" borderId="14" xfId="0" applyFont="1" applyBorder="1" applyAlignment="1">
      <alignment horizontal="left" vertical="top" wrapText="1"/>
    </xf>
    <xf numFmtId="0" fontId="1" fillId="0" borderId="10" xfId="0" applyFont="1" applyBorder="1" applyAlignment="1">
      <alignment horizontal="left" vertical="top" wrapText="1"/>
    </xf>
    <xf numFmtId="14" fontId="1" fillId="0" borderId="1" xfId="0" applyNumberFormat="1" applyFont="1" applyBorder="1" applyAlignment="1" applyProtection="1">
      <alignment horizontal="center"/>
      <protection locked="0"/>
    </xf>
    <xf numFmtId="0" fontId="1" fillId="0" borderId="14" xfId="0" applyFont="1" applyBorder="1" applyAlignment="1" applyProtection="1">
      <alignment horizontal="center" vertical="center" wrapText="1"/>
      <protection locked="0"/>
    </xf>
    <xf numFmtId="0" fontId="9" fillId="2" borderId="13" xfId="0" applyFont="1" applyFill="1" applyBorder="1" applyAlignment="1">
      <alignment horizontal="right"/>
    </xf>
    <xf numFmtId="0" fontId="9" fillId="2" borderId="14" xfId="0" applyFont="1" applyFill="1" applyBorder="1" applyAlignment="1">
      <alignment horizontal="right"/>
    </xf>
    <xf numFmtId="0" fontId="9" fillId="2" borderId="10" xfId="0" applyFont="1" applyFill="1" applyBorder="1" applyAlignment="1">
      <alignment horizontal="right"/>
    </xf>
    <xf numFmtId="0" fontId="2" fillId="0" borderId="13" xfId="0" applyFont="1" applyBorder="1" applyAlignment="1" applyProtection="1">
      <alignment horizontal="center" vertical="center" wrapText="1"/>
      <protection locked="0"/>
    </xf>
    <xf numFmtId="0" fontId="2" fillId="0" borderId="10" xfId="0" applyFont="1" applyBorder="1" applyAlignment="1" applyProtection="1">
      <alignment horizontal="center" vertical="center" wrapText="1"/>
      <protection locked="0"/>
    </xf>
    <xf numFmtId="0" fontId="12" fillId="3" borderId="13" xfId="0" applyFont="1" applyFill="1" applyBorder="1" applyAlignment="1">
      <alignment horizontal="center" vertical="center"/>
    </xf>
    <xf numFmtId="0" fontId="12" fillId="3" borderId="14" xfId="0" applyFont="1" applyFill="1" applyBorder="1" applyAlignment="1">
      <alignment horizontal="center" vertical="center"/>
    </xf>
    <xf numFmtId="0" fontId="12" fillId="3" borderId="10" xfId="0" applyFont="1" applyFill="1" applyBorder="1" applyAlignment="1">
      <alignment horizontal="center" vertical="center"/>
    </xf>
    <xf numFmtId="0" fontId="9" fillId="3" borderId="13" xfId="0" applyFont="1" applyFill="1" applyBorder="1" applyAlignment="1">
      <alignment horizontal="center" vertical="center"/>
    </xf>
    <xf numFmtId="0" fontId="9" fillId="3" borderId="14" xfId="0" applyFont="1" applyFill="1" applyBorder="1" applyAlignment="1">
      <alignment horizontal="center" vertical="center"/>
    </xf>
    <xf numFmtId="0" fontId="9" fillId="3" borderId="10" xfId="0" applyFont="1" applyFill="1" applyBorder="1" applyAlignment="1">
      <alignment horizontal="center" vertical="center"/>
    </xf>
    <xf numFmtId="0" fontId="1" fillId="0" borderId="13" xfId="0" applyFont="1" applyBorder="1" applyAlignment="1" applyProtection="1">
      <alignment horizontal="left" vertical="center" wrapText="1"/>
      <protection locked="0"/>
    </xf>
    <xf numFmtId="0" fontId="1" fillId="0" borderId="10" xfId="0" applyFont="1" applyBorder="1" applyAlignment="1" applyProtection="1">
      <alignment horizontal="left" vertical="center" wrapText="1"/>
      <protection locked="0"/>
    </xf>
    <xf numFmtId="0" fontId="11" fillId="2" borderId="11" xfId="0" applyFont="1" applyFill="1" applyBorder="1" applyAlignment="1">
      <alignment horizontal="center" vertical="center" wrapText="1"/>
    </xf>
    <xf numFmtId="0" fontId="11" fillId="2" borderId="15" xfId="0" applyFont="1" applyFill="1" applyBorder="1" applyAlignment="1">
      <alignment horizontal="center" vertical="center" wrapText="1"/>
    </xf>
    <xf numFmtId="0" fontId="11" fillId="2" borderId="12" xfId="0" applyFont="1" applyFill="1" applyBorder="1" applyAlignment="1">
      <alignment horizontal="center" vertical="center" wrapText="1"/>
    </xf>
    <xf numFmtId="9" fontId="15" fillId="3" borderId="2" xfId="0" applyNumberFormat="1" applyFont="1" applyFill="1" applyBorder="1" applyAlignment="1" applyProtection="1">
      <alignment horizontal="center" vertical="center"/>
      <protection locked="0"/>
    </xf>
    <xf numFmtId="9" fontId="15" fillId="3" borderId="2" xfId="0" applyNumberFormat="1" applyFont="1" applyFill="1" applyBorder="1" applyProtection="1">
      <protection locked="0"/>
    </xf>
  </cellXfs>
  <cellStyles count="1">
    <cellStyle name="Normal" xfId="0" builtinId="0"/>
  </cellStyles>
  <dxfs count="13">
    <dxf>
      <fill>
        <patternFill patternType="solid">
          <fgColor theme="4" tint="0.79998168889431442"/>
          <bgColor theme="4" tint="0.79998168889431442"/>
        </patternFill>
      </fill>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border outline="0">
        <bottom style="thin">
          <color indexed="64"/>
        </bottom>
      </border>
    </dxf>
    <dxf>
      <fill>
        <patternFill patternType="solid">
          <fgColor theme="4" tint="0.79998168889431442"/>
          <bgColor theme="4" tint="0.79998168889431442"/>
        </patternFill>
      </fill>
      <alignment horizontal="center" vertical="bottom" textRotation="0" wrapText="0" indent="0" justifyLastLine="0" shrinkToFit="0" readingOrder="0"/>
    </dxf>
    <dxf>
      <numFmt numFmtId="30" formatCode="@"/>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13"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43A503AC-84A5-45FD-8E65-345D9EC1F877}" name="Table3" displayName="Table3" ref="A1:A9" totalsRowShown="0">
  <autoFilter ref="A1:A9" xr:uid="{43A503AC-84A5-45FD-8E65-345D9EC1F877}"/>
  <sortState xmlns:xlrd2="http://schemas.microsoft.com/office/spreadsheetml/2017/richdata2" ref="A2:A9">
    <sortCondition ref="A3:A9"/>
  </sortState>
  <tableColumns count="1">
    <tableColumn id="1" xr3:uid="{9F2520AC-CF3E-4335-A061-12710D073C5E}" name="A&amp;I Safety Events"/>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A503F78F-73A5-44C9-B00F-AB4EFBC0AD87}" name="Table5" displayName="Table5" ref="C1:C9" totalsRowShown="0">
  <autoFilter ref="C1:C9" xr:uid="{A503F78F-73A5-44C9-B00F-AB4EFBC0AD87}"/>
  <sortState xmlns:xlrd2="http://schemas.microsoft.com/office/spreadsheetml/2017/richdata2" ref="C2:C9">
    <sortCondition ref="C3:C9"/>
  </sortState>
  <tableColumns count="1">
    <tableColumn id="1" xr3:uid="{C633C1E5-9D84-4571-98A9-031C36E9110F}" name="A&amp;I Resident Selection"/>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299D1DAB-0BEE-44C4-8C84-8D3B495C3AB2}" name="Table7" displayName="Table7" ref="E1:E5" totalsRowShown="0" dataDxfId="12">
  <autoFilter ref="E1:E5" xr:uid="{299D1DAB-0BEE-44C4-8C84-8D3B495C3AB2}"/>
  <tableColumns count="1">
    <tableColumn id="1" xr3:uid="{1F98423E-C514-45AC-8B5F-3C8AAF5CDC51}" name="1st Score Column" dataDxfId="11"/>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4A8BCB74-5FF4-4F16-8C48-3A9A0A2583CE}" name="Table8" displayName="Table8" ref="G1:G5" totalsRowShown="0" headerRowDxfId="10" dataDxfId="9">
  <autoFilter ref="G1:G5" xr:uid="{4A8BCB74-5FF4-4F16-8C48-3A9A0A2583CE}"/>
  <tableColumns count="1">
    <tableColumn id="1" xr3:uid="{BC607192-FCC7-48A2-88C7-E43E68B26CBC}" name="2nd &amp; 3rd Score Column" dataDxfId="8"/>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E118A406-84C6-4D7E-99FA-D73649B24093}" name="Table9" displayName="Table9" ref="I1:I5" totalsRowShown="0" dataDxfId="7">
  <autoFilter ref="I1:I5" xr:uid="{E118A406-84C6-4D7E-99FA-D73649B24093}"/>
  <tableColumns count="1">
    <tableColumn id="1" xr3:uid="{AAF36395-BD89-49A0-8FC6-D5B623403904}" name="Observations" dataDxfId="6"/>
  </tableColumns>
  <tableStyleInfo name="TableStyleMedium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94E1515-7FA2-4203-B125-AA1FF81F1AC6}" name="Table10" displayName="Table10" ref="K1:K4" totalsRowShown="0" dataDxfId="5">
  <autoFilter ref="K1:K4" xr:uid="{094E1515-7FA2-4203-B125-AA1FF81F1AC6}"/>
  <tableColumns count="1">
    <tableColumn id="1" xr3:uid="{C90F8DA5-10CD-4ED2-982E-69E64F4A9A27}" name="Follow-Up Needed?" dataDxfId="4"/>
  </tableColumns>
  <tableStyleInfo name="TableStyleMedium2"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EB4FB1EE-4DC5-47D8-88BE-BF39399A53F5}" name="Table1114" displayName="Table1114" ref="A12:A20" totalsRowShown="0">
  <autoFilter ref="A12:A20" xr:uid="{EB4FB1EE-4DC5-47D8-88BE-BF39399A53F5}"/>
  <tableColumns count="1">
    <tableColumn id="1" xr3:uid="{3278D64F-2774-46A7-B457-A88E898A1E73}" name="Wound Status"/>
  </tableColumns>
  <tableStyleInfo name="TableStyleMedium2"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3C4EEE72-DCDE-4011-B06D-A8D2AB0647D7}" name="Table1215" displayName="Table1215" ref="C12:C18" totalsRowShown="0">
  <autoFilter ref="C12:C18" xr:uid="{3C4EEE72-DCDE-4011-B06D-A8D2AB0647D7}"/>
  <tableColumns count="1">
    <tableColumn id="1" xr3:uid="{CBE6F606-815D-4F10-8656-46E999B176EC}" name="Skin Resident Selection"/>
  </tableColumns>
  <tableStyleInfo name="TableStyleMedium2"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4D570EB3-5579-4B7C-BC6F-6612E1ACD8BF}" name="Table15" displayName="Table15" ref="E11:E19" totalsRowShown="0">
  <autoFilter ref="E11:E19" xr:uid="{4D570EB3-5579-4B7C-BC6F-6612E1ACD8BF}"/>
  <sortState xmlns:xlrd2="http://schemas.microsoft.com/office/spreadsheetml/2017/richdata2" ref="E12:E19">
    <sortCondition ref="E14:E19"/>
  </sortState>
  <tableColumns count="1">
    <tableColumn id="1" xr3:uid="{5BA4A4DA-356E-4D98-A61A-F34949A4240C}" name="Discharge/Transfer Location"/>
  </tableColumns>
  <tableStyleInfo name="TableStyleMedium2"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7E1C158E-9AD0-46E7-9825-AAE26BB31F09}" name="Table16" displayName="Table16" ref="G11:G15" totalsRowShown="0">
  <autoFilter ref="G11:G15" xr:uid="{7E1C158E-9AD0-46E7-9825-AAE26BB31F09}"/>
  <tableColumns count="1">
    <tableColumn id="1" xr3:uid="{653A308B-80FA-4956-A503-285BF5E51C6F}" name="Discharge/Transfer Event Type"/>
  </tableColumns>
  <tableStyleInfo name="TableStyleMedium2"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5BB8DB8D-BB98-41F8-94DE-9944C2352123}" name="Table17" displayName="Table17" ref="A22:A29" totalsRowShown="0">
  <autoFilter ref="A22:A29" xr:uid="{5BB8DB8D-BB98-41F8-94DE-9944C2352123}"/>
  <sortState xmlns:xlrd2="http://schemas.microsoft.com/office/spreadsheetml/2017/richdata2" ref="A23:A29">
    <sortCondition ref="A24:A29"/>
  </sortState>
  <tableColumns count="1">
    <tableColumn id="1" xr3:uid="{929288B1-1A11-4E46-8E6D-B2EAC4B7C37B}" name="Abuse Resident Selection"/>
  </tableColumns>
  <tableStyleInfo name="TableStyleMedium2"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AA506F65-8D87-4252-951B-C763239B4657}" name="Table18" displayName="Table18" ref="C19:C29" totalsRowShown="0">
  <autoFilter ref="C19:C29" xr:uid="{AA506F65-8D87-4252-951B-C763239B4657}"/>
  <tableColumns count="1">
    <tableColumn id="1" xr3:uid="{1F5D7057-B08A-4ABB-B8F9-C9ACA7D2C9AE}" name="Abuse Event Type"/>
  </tableColumns>
  <tableStyleInfo name="TableStyleMedium2"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4A51A086-F5EC-4123-9AB5-8B57B41FF4C9}" name="Table19" displayName="Table19" ref="E21:E29" totalsRowShown="0">
  <autoFilter ref="E21:E29" xr:uid="{4A51A086-F5EC-4123-9AB5-8B57B41FF4C9}"/>
  <tableColumns count="1">
    <tableColumn id="1" xr3:uid="{9795BD16-B597-4315-B8AE-769EA77B8D42}" name="IP Resident Selection"/>
  </tableColumns>
  <tableStyleInfo name="TableStyleMedium2"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B4B2A12B-1FB4-41D9-9D5C-FF65B75D27F2}" name="Table20" displayName="Table20" ref="G17:G23" totalsRowShown="0">
  <autoFilter ref="G17:G23" xr:uid="{B4B2A12B-1FB4-41D9-9D5C-FF65B75D27F2}"/>
  <tableColumns count="1">
    <tableColumn id="1" xr3:uid="{3EE038CA-4890-439B-B2FB-522DBD287A2C}" name="IP Precaution Type"/>
  </tableColumns>
  <tableStyleInfo name="TableStyleMedium2"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1550A904-6928-4121-9882-81EB3D8B1C37}" name="Table21" displayName="Table21" ref="I7:I20" totalsRowShown="0">
  <autoFilter ref="I7:I20" xr:uid="{1550A904-6928-4121-9882-81EB3D8B1C37}"/>
  <tableColumns count="1">
    <tableColumn id="1" xr3:uid="{1B09B7B1-2C3A-4CCF-9654-E9CE9DD9F988}" name="Review Period" dataDxfId="3"/>
  </tableColumns>
  <tableStyleInfo name="TableStyleMedium2"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22F1539C-E152-4881-A0E2-2172B7DBE43B}" name="Table22" displayName="Table22" ref="K6:K54" totalsRowShown="0" dataDxfId="2" tableBorderDxfId="1">
  <autoFilter ref="K6:K54" xr:uid="{22F1539C-E152-4881-A0E2-2172B7DBE43B}"/>
  <tableColumns count="1">
    <tableColumn id="1" xr3:uid="{0CEBE141-A023-4E56-85D0-58A0704CF49E}" name="Facility Name"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6.xml.rels><?xml version="1.0" encoding="UTF-8" standalone="yes"?>
<Relationships xmlns="http://schemas.openxmlformats.org/package/2006/relationships"><Relationship Id="rId8" Type="http://schemas.openxmlformats.org/officeDocument/2006/relationships/table" Target="../tables/table7.xml"/><Relationship Id="rId13" Type="http://schemas.openxmlformats.org/officeDocument/2006/relationships/table" Target="../tables/table12.xml"/><Relationship Id="rId18" Type="http://schemas.openxmlformats.org/officeDocument/2006/relationships/comments" Target="../comments1.xml"/><Relationship Id="rId3" Type="http://schemas.openxmlformats.org/officeDocument/2006/relationships/table" Target="../tables/table2.xml"/><Relationship Id="rId7" Type="http://schemas.openxmlformats.org/officeDocument/2006/relationships/table" Target="../tables/table6.xml"/><Relationship Id="rId12" Type="http://schemas.openxmlformats.org/officeDocument/2006/relationships/table" Target="../tables/table11.xml"/><Relationship Id="rId17" Type="http://schemas.openxmlformats.org/officeDocument/2006/relationships/table" Target="../tables/table16.xml"/><Relationship Id="rId2" Type="http://schemas.openxmlformats.org/officeDocument/2006/relationships/table" Target="../tables/table1.xml"/><Relationship Id="rId16" Type="http://schemas.openxmlformats.org/officeDocument/2006/relationships/table" Target="../tables/table15.xml"/><Relationship Id="rId1" Type="http://schemas.openxmlformats.org/officeDocument/2006/relationships/vmlDrawing" Target="../drawings/vmlDrawing1.vml"/><Relationship Id="rId6" Type="http://schemas.openxmlformats.org/officeDocument/2006/relationships/table" Target="../tables/table5.xml"/><Relationship Id="rId11" Type="http://schemas.openxmlformats.org/officeDocument/2006/relationships/table" Target="../tables/table10.xml"/><Relationship Id="rId5" Type="http://schemas.openxmlformats.org/officeDocument/2006/relationships/table" Target="../tables/table4.xml"/><Relationship Id="rId15" Type="http://schemas.openxmlformats.org/officeDocument/2006/relationships/table" Target="../tables/table14.xml"/><Relationship Id="rId10" Type="http://schemas.openxmlformats.org/officeDocument/2006/relationships/table" Target="../tables/table9.xml"/><Relationship Id="rId4" Type="http://schemas.openxmlformats.org/officeDocument/2006/relationships/table" Target="../tables/table3.xml"/><Relationship Id="rId9" Type="http://schemas.openxmlformats.org/officeDocument/2006/relationships/table" Target="../tables/table8.xml"/><Relationship Id="rId14" Type="http://schemas.openxmlformats.org/officeDocument/2006/relationships/table" Target="../tables/table1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8A27E4-6717-40B7-A205-33CADA0D7F33}">
  <dimension ref="A1:G31"/>
  <sheetViews>
    <sheetView tabSelected="1" workbookViewId="0">
      <selection activeCell="G29" sqref="G29"/>
    </sheetView>
  </sheetViews>
  <sheetFormatPr defaultRowHeight="14.4" x14ac:dyDescent="0.3"/>
  <cols>
    <col min="2" max="2" width="23.33203125" customWidth="1"/>
    <col min="3" max="3" width="22.6640625" customWidth="1"/>
    <col min="4" max="4" width="22" customWidth="1"/>
    <col min="5" max="5" width="23.33203125" customWidth="1"/>
  </cols>
  <sheetData>
    <row r="1" spans="1:7" ht="33" x14ac:dyDescent="0.6">
      <c r="A1" s="109" t="s">
        <v>0</v>
      </c>
      <c r="B1" s="109"/>
      <c r="C1" s="109"/>
      <c r="D1" s="109"/>
      <c r="E1" s="109"/>
      <c r="F1" s="109"/>
      <c r="G1" s="109"/>
    </row>
    <row r="2" spans="1:7" x14ac:dyDescent="0.3">
      <c r="A2" s="26"/>
      <c r="B2" s="27" t="s">
        <v>1</v>
      </c>
      <c r="C2" s="110" t="s">
        <v>2</v>
      </c>
      <c r="D2" s="111"/>
      <c r="E2" s="28"/>
      <c r="F2" s="112"/>
      <c r="G2" s="112"/>
    </row>
    <row r="3" spans="1:7" x14ac:dyDescent="0.3">
      <c r="A3" s="26"/>
      <c r="B3" s="29" t="s">
        <v>3</v>
      </c>
      <c r="C3" s="110" t="s">
        <v>4</v>
      </c>
      <c r="D3" s="111"/>
      <c r="E3" s="30"/>
      <c r="F3" s="112"/>
      <c r="G3" s="112"/>
    </row>
    <row r="4" spans="1:7" x14ac:dyDescent="0.3">
      <c r="A4" s="31"/>
      <c r="B4" s="29" t="s">
        <v>5</v>
      </c>
      <c r="C4" s="113">
        <v>45953</v>
      </c>
      <c r="D4" s="111"/>
      <c r="E4" s="30"/>
      <c r="F4" s="112"/>
      <c r="G4" s="112"/>
    </row>
    <row r="5" spans="1:7" x14ac:dyDescent="0.3">
      <c r="A5" s="31"/>
      <c r="B5" s="29" t="s">
        <v>6</v>
      </c>
      <c r="C5" s="110" t="s">
        <v>7</v>
      </c>
      <c r="D5" s="111"/>
      <c r="E5" s="30"/>
      <c r="F5" s="112"/>
      <c r="G5" s="112"/>
    </row>
    <row r="6" spans="1:7" x14ac:dyDescent="0.3">
      <c r="A6" s="32"/>
      <c r="B6" s="33"/>
      <c r="C6" s="34"/>
      <c r="D6" s="35"/>
      <c r="E6" s="34"/>
      <c r="F6" s="112"/>
      <c r="G6" s="112"/>
    </row>
    <row r="7" spans="1:7" x14ac:dyDescent="0.3">
      <c r="A7" s="36"/>
      <c r="B7" s="37" t="s">
        <v>8</v>
      </c>
      <c r="C7" s="38" t="s">
        <v>9</v>
      </c>
      <c r="D7" s="39" t="s">
        <v>10</v>
      </c>
      <c r="E7" s="40" t="s">
        <v>11</v>
      </c>
      <c r="F7" s="112"/>
      <c r="G7" s="112"/>
    </row>
    <row r="8" spans="1:7" x14ac:dyDescent="0.3">
      <c r="A8" s="41"/>
      <c r="B8" s="42" t="s">
        <v>12</v>
      </c>
      <c r="C8" s="43">
        <f>'Abuse &amp; Grievances'!E19</f>
        <v>50</v>
      </c>
      <c r="D8" s="44">
        <f>'Abuse &amp; Grievances'!I19</f>
        <v>50</v>
      </c>
      <c r="E8" s="45">
        <f>D8/C8</f>
        <v>1</v>
      </c>
      <c r="F8" s="112"/>
      <c r="G8" s="112"/>
    </row>
    <row r="9" spans="1:7" x14ac:dyDescent="0.3">
      <c r="A9" s="41"/>
      <c r="B9" s="46" t="s">
        <v>13</v>
      </c>
      <c r="C9" s="47">
        <f>'Accidents &amp; Incidents'!E21</f>
        <v>60</v>
      </c>
      <c r="D9" s="48">
        <f>'Accidents &amp; Incidents'!I21</f>
        <v>54</v>
      </c>
      <c r="E9" s="49">
        <f t="shared" ref="E9:E12" si="0">D9/C9</f>
        <v>0.9</v>
      </c>
      <c r="F9" s="112"/>
      <c r="G9" s="112"/>
    </row>
    <row r="10" spans="1:7" ht="28.8" x14ac:dyDescent="0.3">
      <c r="A10" s="41"/>
      <c r="B10" s="42" t="s">
        <v>14</v>
      </c>
      <c r="C10" s="79">
        <f>'Infection Prevention &amp; Control'!E34</f>
        <v>130</v>
      </c>
      <c r="D10" s="44">
        <f>'Infection Prevention &amp; Control'!I34</f>
        <v>63</v>
      </c>
      <c r="E10" s="45">
        <f t="shared" si="0"/>
        <v>0.48461538461538461</v>
      </c>
      <c r="F10" s="112"/>
      <c r="G10" s="112"/>
    </row>
    <row r="11" spans="1:7" x14ac:dyDescent="0.3">
      <c r="A11" s="41"/>
      <c r="B11" s="50" t="s">
        <v>15</v>
      </c>
      <c r="C11" s="51">
        <f>'Skin Integrity &amp; Wounds'!E35</f>
        <v>170</v>
      </c>
      <c r="D11" s="52">
        <f>'Skin Integrity &amp; Wounds'!I35</f>
        <v>131</v>
      </c>
      <c r="E11" s="49">
        <f t="shared" si="0"/>
        <v>0.77058823529411768</v>
      </c>
      <c r="F11" s="112"/>
      <c r="G11" s="112"/>
    </row>
    <row r="12" spans="1:7" ht="28.8" x14ac:dyDescent="0.3">
      <c r="A12" s="36"/>
      <c r="B12" s="53" t="s">
        <v>16</v>
      </c>
      <c r="C12" s="54">
        <f>SUM(C8:C11)</f>
        <v>410</v>
      </c>
      <c r="D12" s="77">
        <f>SUM(D8:D11)</f>
        <v>298</v>
      </c>
      <c r="E12" s="78">
        <f t="shared" si="0"/>
        <v>0.72682926829268291</v>
      </c>
      <c r="F12" s="112"/>
      <c r="G12" s="112"/>
    </row>
    <row r="13" spans="1:7" x14ac:dyDescent="0.3">
      <c r="A13" s="36"/>
      <c r="B13" s="55" t="s">
        <v>17</v>
      </c>
      <c r="C13" s="56">
        <f>E12</f>
        <v>0.72682926829268291</v>
      </c>
      <c r="D13" s="30"/>
      <c r="E13" s="30"/>
      <c r="F13" s="112"/>
      <c r="G13" s="112"/>
    </row>
    <row r="14" spans="1:7" x14ac:dyDescent="0.3">
      <c r="A14" s="36"/>
      <c r="B14" s="57"/>
      <c r="C14" s="58"/>
      <c r="D14" s="30"/>
      <c r="E14" s="30"/>
      <c r="F14" s="112"/>
      <c r="G14" s="112"/>
    </row>
    <row r="15" spans="1:7" x14ac:dyDescent="0.3">
      <c r="A15" s="36"/>
      <c r="B15" s="57"/>
      <c r="C15" s="58"/>
      <c r="D15" s="30"/>
      <c r="E15" s="30"/>
      <c r="F15" s="112"/>
      <c r="G15" s="112"/>
    </row>
    <row r="16" spans="1:7" ht="57" customHeight="1" x14ac:dyDescent="0.3">
      <c r="A16" s="114" t="s">
        <v>18</v>
      </c>
      <c r="B16" s="114"/>
      <c r="C16" s="114"/>
      <c r="D16" s="114"/>
      <c r="E16" s="114"/>
      <c r="F16" s="114"/>
      <c r="G16" s="114"/>
    </row>
    <row r="17" spans="1:7" ht="18" x14ac:dyDescent="0.35">
      <c r="A17" s="115" t="s">
        <v>19</v>
      </c>
      <c r="B17" s="115"/>
      <c r="C17" s="115"/>
      <c r="D17" s="115"/>
      <c r="E17" s="115"/>
      <c r="F17" s="115"/>
      <c r="G17" s="115"/>
    </row>
    <row r="18" spans="1:7" x14ac:dyDescent="0.3">
      <c r="A18" s="116" t="s">
        <v>20</v>
      </c>
      <c r="B18" s="116"/>
      <c r="C18" s="116"/>
      <c r="D18" s="116"/>
      <c r="E18" s="116"/>
      <c r="F18" s="116"/>
      <c r="G18" s="116"/>
    </row>
    <row r="19" spans="1:7" ht="27.6" x14ac:dyDescent="0.3">
      <c r="A19" s="59"/>
      <c r="B19" s="60" t="s">
        <v>12</v>
      </c>
      <c r="C19" s="60" t="s">
        <v>13</v>
      </c>
      <c r="D19" s="60" t="s">
        <v>14</v>
      </c>
      <c r="E19" s="117" t="s">
        <v>15</v>
      </c>
      <c r="F19" s="118"/>
      <c r="G19" s="60" t="s">
        <v>17</v>
      </c>
    </row>
    <row r="20" spans="1:7" x14ac:dyDescent="0.3">
      <c r="A20" s="61">
        <v>45682</v>
      </c>
      <c r="B20" s="80"/>
      <c r="C20" s="81"/>
      <c r="D20" s="81"/>
      <c r="E20" s="104"/>
      <c r="F20" s="105"/>
      <c r="G20" s="82"/>
    </row>
    <row r="21" spans="1:7" x14ac:dyDescent="0.3">
      <c r="A21" s="62">
        <v>45713</v>
      </c>
      <c r="B21" s="83"/>
      <c r="C21" s="84"/>
      <c r="D21" s="84"/>
      <c r="E21" s="108"/>
      <c r="F21" s="107"/>
      <c r="G21" s="85"/>
    </row>
    <row r="22" spans="1:7" x14ac:dyDescent="0.3">
      <c r="A22" s="61">
        <v>45741</v>
      </c>
      <c r="B22" s="80"/>
      <c r="C22" s="81"/>
      <c r="D22" s="81"/>
      <c r="E22" s="104"/>
      <c r="F22" s="105"/>
      <c r="G22" s="82"/>
    </row>
    <row r="23" spans="1:7" x14ac:dyDescent="0.3">
      <c r="A23" s="62">
        <v>45772</v>
      </c>
      <c r="B23" s="84"/>
      <c r="C23" s="84"/>
      <c r="D23" s="84"/>
      <c r="E23" s="108"/>
      <c r="F23" s="107"/>
      <c r="G23" s="85"/>
    </row>
    <row r="24" spans="1:7" x14ac:dyDescent="0.3">
      <c r="A24" s="61">
        <v>45802</v>
      </c>
      <c r="B24" s="81"/>
      <c r="C24" s="81"/>
      <c r="D24" s="81"/>
      <c r="E24" s="104"/>
      <c r="F24" s="105"/>
      <c r="G24" s="82"/>
    </row>
    <row r="25" spans="1:7" x14ac:dyDescent="0.3">
      <c r="A25" s="62">
        <v>45833</v>
      </c>
      <c r="B25" s="84"/>
      <c r="C25" s="84"/>
      <c r="D25" s="84"/>
      <c r="E25" s="108"/>
      <c r="F25" s="107"/>
      <c r="G25" s="85"/>
    </row>
    <row r="26" spans="1:7" x14ac:dyDescent="0.3">
      <c r="A26" s="61">
        <v>45863</v>
      </c>
      <c r="B26" s="81"/>
      <c r="C26" s="81"/>
      <c r="D26" s="81"/>
      <c r="E26" s="104"/>
      <c r="F26" s="105"/>
      <c r="G26" s="82"/>
    </row>
    <row r="27" spans="1:7" x14ac:dyDescent="0.3">
      <c r="A27" s="62">
        <v>45894</v>
      </c>
      <c r="B27" s="84"/>
      <c r="C27" s="84"/>
      <c r="D27" s="84"/>
      <c r="E27" s="108"/>
      <c r="F27" s="107"/>
      <c r="G27" s="85"/>
    </row>
    <row r="28" spans="1:7" x14ac:dyDescent="0.3">
      <c r="A28" s="61">
        <v>45925</v>
      </c>
      <c r="B28" s="81"/>
      <c r="C28" s="81"/>
      <c r="D28" s="81"/>
      <c r="E28" s="104"/>
      <c r="F28" s="105"/>
      <c r="G28" s="82"/>
    </row>
    <row r="29" spans="1:7" x14ac:dyDescent="0.3">
      <c r="A29" s="62">
        <v>45955</v>
      </c>
      <c r="B29" s="190">
        <v>1</v>
      </c>
      <c r="C29" s="190">
        <v>0.9</v>
      </c>
      <c r="D29" s="103">
        <v>0.48459999999999998</v>
      </c>
      <c r="E29" s="106">
        <v>0.77059999999999995</v>
      </c>
      <c r="F29" s="107"/>
      <c r="G29" s="191">
        <v>0.73</v>
      </c>
    </row>
    <row r="30" spans="1:7" x14ac:dyDescent="0.3">
      <c r="A30" s="61">
        <v>45986</v>
      </c>
      <c r="B30" s="81"/>
      <c r="C30" s="81"/>
      <c r="D30" s="81"/>
      <c r="E30" s="104"/>
      <c r="F30" s="105"/>
      <c r="G30" s="82"/>
    </row>
    <row r="31" spans="1:7" x14ac:dyDescent="0.3">
      <c r="A31" s="62">
        <v>46016</v>
      </c>
      <c r="B31" s="84"/>
      <c r="C31" s="84"/>
      <c r="D31" s="84"/>
      <c r="E31" s="108"/>
      <c r="F31" s="107"/>
      <c r="G31" s="85"/>
    </row>
  </sheetData>
  <mergeCells count="22">
    <mergeCell ref="E21:F21"/>
    <mergeCell ref="A1:G1"/>
    <mergeCell ref="C2:D2"/>
    <mergeCell ref="F2:G15"/>
    <mergeCell ref="C3:D3"/>
    <mergeCell ref="C4:D4"/>
    <mergeCell ref="C5:D5"/>
    <mergeCell ref="A16:G16"/>
    <mergeCell ref="A17:G17"/>
    <mergeCell ref="A18:G18"/>
    <mergeCell ref="E19:F19"/>
    <mergeCell ref="E20:F20"/>
    <mergeCell ref="E28:F28"/>
    <mergeCell ref="E29:F29"/>
    <mergeCell ref="E30:F30"/>
    <mergeCell ref="E31:F31"/>
    <mergeCell ref="E22:F22"/>
    <mergeCell ref="E23:F23"/>
    <mergeCell ref="E24:F24"/>
    <mergeCell ref="E25:F25"/>
    <mergeCell ref="E26:F26"/>
    <mergeCell ref="E27:F27"/>
  </mergeCell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82EDB28E-447A-44AC-B199-423E147982B7}">
          <x14:formula1>
            <xm:f>Data!$K$7:$K$54</xm:f>
          </x14:formula1>
          <xm:sqref>C2:D2</xm:sqref>
        </x14:dataValidation>
        <x14:dataValidation type="list" allowBlank="1" showInputMessage="1" showErrorMessage="1" xr:uid="{D3E90505-DC73-4E46-B376-69BE7734404A}">
          <x14:formula1>
            <xm:f>Data!$I$8:$I$20</xm:f>
          </x14:formula1>
          <xm:sqref>C3:D3</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45BF7A-FD9D-4169-A2D5-7E33121F96B0}">
  <sheetPr>
    <tabColor rgb="FFFF0000"/>
  </sheetPr>
  <dimension ref="A1:N33"/>
  <sheetViews>
    <sheetView topLeftCell="A9" zoomScale="84" zoomScaleNormal="130" workbookViewId="0">
      <selection activeCell="H15" sqref="H15"/>
    </sheetView>
  </sheetViews>
  <sheetFormatPr defaultRowHeight="14.4" x14ac:dyDescent="0.3"/>
  <cols>
    <col min="4" max="4" width="13.109375" customWidth="1"/>
    <col min="5" max="5" width="9.6640625" customWidth="1"/>
    <col min="6" max="8" width="29.6640625" customWidth="1"/>
  </cols>
  <sheetData>
    <row r="1" spans="1:14" x14ac:dyDescent="0.3">
      <c r="A1" s="2" t="s">
        <v>21</v>
      </c>
      <c r="B1" s="154">
        <v>45931</v>
      </c>
      <c r="C1" s="155"/>
      <c r="D1" s="155"/>
      <c r="E1" s="155"/>
      <c r="F1" s="2"/>
      <c r="G1" s="4" t="s">
        <v>22</v>
      </c>
      <c r="H1" s="95" t="s">
        <v>23</v>
      </c>
      <c r="I1" s="5"/>
      <c r="J1" s="2"/>
      <c r="K1" s="2"/>
      <c r="L1" s="2"/>
      <c r="M1" s="2"/>
      <c r="N1" s="2"/>
    </row>
    <row r="2" spans="1:14" x14ac:dyDescent="0.3">
      <c r="A2" s="156"/>
      <c r="B2" s="156"/>
      <c r="C2" s="2"/>
      <c r="D2" s="2"/>
      <c r="E2" s="5"/>
      <c r="F2" s="2"/>
      <c r="G2" s="2"/>
      <c r="H2" s="2"/>
      <c r="I2" s="5"/>
      <c r="J2" s="2"/>
      <c r="K2" s="2"/>
      <c r="L2" s="2"/>
      <c r="M2" s="2"/>
      <c r="N2" s="2"/>
    </row>
    <row r="3" spans="1:14" ht="18" x14ac:dyDescent="0.35">
      <c r="A3" s="6"/>
      <c r="B3" s="6"/>
      <c r="C3" s="6"/>
      <c r="D3" s="6"/>
      <c r="E3" s="7"/>
      <c r="F3" s="7"/>
      <c r="G3" s="7"/>
      <c r="H3" s="7"/>
      <c r="I3" s="7"/>
      <c r="J3" s="7"/>
      <c r="K3" s="2"/>
      <c r="L3" s="2"/>
      <c r="M3" s="2"/>
      <c r="N3" s="2"/>
    </row>
    <row r="4" spans="1:14" ht="27.6" x14ac:dyDescent="0.3">
      <c r="A4" s="157" t="s">
        <v>24</v>
      </c>
      <c r="B4" s="158"/>
      <c r="C4" s="158"/>
      <c r="D4" s="159"/>
      <c r="E4" s="8" t="s">
        <v>25</v>
      </c>
      <c r="F4" s="86"/>
      <c r="G4" s="87"/>
      <c r="H4" s="88"/>
      <c r="I4" s="5"/>
      <c r="J4" s="10"/>
      <c r="K4" s="2"/>
      <c r="L4" s="2"/>
      <c r="M4" s="2"/>
      <c r="N4" s="2"/>
    </row>
    <row r="5" spans="1:14" ht="27.6" x14ac:dyDescent="0.3">
      <c r="A5" s="160"/>
      <c r="B5" s="161"/>
      <c r="C5" s="161"/>
      <c r="D5" s="162"/>
      <c r="E5" s="9" t="s">
        <v>26</v>
      </c>
      <c r="F5" s="94" t="s">
        <v>27</v>
      </c>
      <c r="G5" s="94" t="s">
        <v>27</v>
      </c>
      <c r="H5" s="94" t="s">
        <v>27</v>
      </c>
      <c r="I5" s="5"/>
      <c r="J5" s="10"/>
      <c r="K5" s="2"/>
      <c r="L5" s="2"/>
      <c r="M5" s="2"/>
      <c r="N5" s="2"/>
    </row>
    <row r="6" spans="1:14" ht="27.6" x14ac:dyDescent="0.3">
      <c r="A6" s="160"/>
      <c r="B6" s="161"/>
      <c r="C6" s="161"/>
      <c r="D6" s="162"/>
      <c r="E6" s="14" t="s">
        <v>28</v>
      </c>
      <c r="F6" s="94" t="s">
        <v>27</v>
      </c>
      <c r="G6" s="94" t="s">
        <v>27</v>
      </c>
      <c r="H6" s="94" t="s">
        <v>27</v>
      </c>
      <c r="I6" s="13"/>
      <c r="J6" s="12"/>
      <c r="K6" s="12"/>
      <c r="L6" s="12"/>
      <c r="M6" s="12"/>
      <c r="N6" s="12"/>
    </row>
    <row r="7" spans="1:14" ht="27.6" x14ac:dyDescent="0.3">
      <c r="A7" s="163"/>
      <c r="B7" s="164"/>
      <c r="C7" s="164"/>
      <c r="D7" s="165"/>
      <c r="E7" s="14" t="s">
        <v>29</v>
      </c>
      <c r="F7" s="89"/>
      <c r="G7" s="89"/>
      <c r="H7" s="89"/>
      <c r="I7" s="13"/>
      <c r="J7" s="12"/>
      <c r="K7" s="12"/>
      <c r="L7" s="12"/>
      <c r="M7" s="12"/>
      <c r="N7" s="12"/>
    </row>
    <row r="8" spans="1:14" ht="78.599999999999994" customHeight="1" x14ac:dyDescent="0.3">
      <c r="A8" s="166" t="s">
        <v>30</v>
      </c>
      <c r="B8" s="167"/>
      <c r="C8" s="167"/>
      <c r="D8" s="168"/>
      <c r="E8" s="16" t="s">
        <v>31</v>
      </c>
      <c r="F8" s="166" t="s">
        <v>32</v>
      </c>
      <c r="G8" s="167"/>
      <c r="H8" s="168"/>
      <c r="I8" s="16" t="s">
        <v>33</v>
      </c>
      <c r="J8" s="17"/>
      <c r="K8" s="17"/>
      <c r="L8" s="18"/>
      <c r="M8" s="18"/>
      <c r="N8" s="18"/>
    </row>
    <row r="9" spans="1:14" ht="78.599999999999994" customHeight="1" x14ac:dyDescent="0.3">
      <c r="A9" s="129" t="s">
        <v>34</v>
      </c>
      <c r="B9" s="130"/>
      <c r="C9" s="130"/>
      <c r="D9" s="131"/>
      <c r="E9" s="15">
        <v>10</v>
      </c>
      <c r="F9" s="76">
        <v>4</v>
      </c>
      <c r="G9" s="76">
        <v>3</v>
      </c>
      <c r="H9" s="76">
        <v>3</v>
      </c>
      <c r="I9" s="132">
        <f>IF(F9="N/A",4,F9)+IF(G9="N/A",3,G9)+IF(H9="N/A",3,H9)</f>
        <v>10</v>
      </c>
      <c r="J9" s="10"/>
      <c r="K9" s="6"/>
      <c r="L9" s="6"/>
      <c r="M9" s="6"/>
      <c r="N9" s="6"/>
    </row>
    <row r="10" spans="1:14" ht="18" x14ac:dyDescent="0.3">
      <c r="A10" s="134" t="s">
        <v>35</v>
      </c>
      <c r="B10" s="135"/>
      <c r="C10" s="135"/>
      <c r="D10" s="135"/>
      <c r="E10" s="136"/>
      <c r="F10" s="90"/>
      <c r="G10" s="90"/>
      <c r="H10" s="90"/>
      <c r="I10" s="133"/>
      <c r="J10" s="10"/>
      <c r="K10" s="6"/>
      <c r="L10" s="6"/>
      <c r="M10" s="6"/>
      <c r="N10" s="6"/>
    </row>
    <row r="11" spans="1:14" ht="62.4" customHeight="1" x14ac:dyDescent="0.3">
      <c r="A11" s="129" t="s">
        <v>36</v>
      </c>
      <c r="B11" s="130"/>
      <c r="C11" s="130"/>
      <c r="D11" s="131"/>
      <c r="E11" s="19">
        <v>10</v>
      </c>
      <c r="F11" s="76">
        <v>10</v>
      </c>
      <c r="G11" s="11">
        <v>10</v>
      </c>
      <c r="H11" s="11">
        <v>10</v>
      </c>
      <c r="I11" s="132">
        <f>IF(F11="N/A",10,F11)</f>
        <v>10</v>
      </c>
      <c r="J11" s="1"/>
      <c r="K11" s="6"/>
      <c r="L11" s="6"/>
      <c r="M11" s="6"/>
      <c r="N11" s="6"/>
    </row>
    <row r="12" spans="1:14" ht="18" x14ac:dyDescent="0.3">
      <c r="A12" s="134" t="s">
        <v>37</v>
      </c>
      <c r="B12" s="135"/>
      <c r="C12" s="135"/>
      <c r="D12" s="135"/>
      <c r="E12" s="136"/>
      <c r="F12" s="90"/>
      <c r="G12" s="90"/>
      <c r="H12" s="90"/>
      <c r="I12" s="133"/>
      <c r="J12" s="1"/>
      <c r="K12" s="6"/>
      <c r="L12" s="6"/>
      <c r="M12" s="6"/>
      <c r="N12" s="6"/>
    </row>
    <row r="13" spans="1:14" ht="168" customHeight="1" x14ac:dyDescent="0.3">
      <c r="A13" s="129" t="s">
        <v>38</v>
      </c>
      <c r="B13" s="130"/>
      <c r="C13" s="130"/>
      <c r="D13" s="131"/>
      <c r="E13" s="19">
        <v>10</v>
      </c>
      <c r="F13" s="76">
        <v>4</v>
      </c>
      <c r="G13" s="76">
        <v>3</v>
      </c>
      <c r="H13" s="76">
        <v>3</v>
      </c>
      <c r="I13" s="132">
        <f>IF(F13="N/A",4,F13)+IF(G13="N/A",3,G13)+IF(H13="N/A",3,H13)</f>
        <v>10</v>
      </c>
      <c r="J13" s="1"/>
      <c r="K13" s="1"/>
      <c r="L13" s="2"/>
      <c r="M13" s="2"/>
      <c r="N13" s="2"/>
    </row>
    <row r="14" spans="1:14" x14ac:dyDescent="0.3">
      <c r="A14" s="134" t="s">
        <v>39</v>
      </c>
      <c r="B14" s="135"/>
      <c r="C14" s="135"/>
      <c r="D14" s="135"/>
      <c r="E14" s="136"/>
      <c r="F14" s="90"/>
      <c r="G14" s="90"/>
      <c r="H14" s="90"/>
      <c r="I14" s="133"/>
      <c r="J14" s="1"/>
      <c r="K14" s="1"/>
      <c r="L14" s="2"/>
      <c r="M14" s="2"/>
      <c r="N14" s="2"/>
    </row>
    <row r="15" spans="1:14" ht="95.4" customHeight="1" x14ac:dyDescent="0.3">
      <c r="A15" s="129" t="s">
        <v>40</v>
      </c>
      <c r="B15" s="130"/>
      <c r="C15" s="130"/>
      <c r="D15" s="131"/>
      <c r="E15" s="19">
        <v>10</v>
      </c>
      <c r="F15" s="76">
        <v>4</v>
      </c>
      <c r="G15" s="76">
        <v>3</v>
      </c>
      <c r="H15" s="76">
        <v>3</v>
      </c>
      <c r="I15" s="132">
        <f>IF(F15="N/A",4,F15)+IF(G15="N/A",3,G15)+IF(H15="N/A",3,H15)</f>
        <v>10</v>
      </c>
      <c r="J15" s="1"/>
      <c r="K15" s="1"/>
      <c r="L15" s="2"/>
      <c r="M15" s="2"/>
      <c r="N15" s="2"/>
    </row>
    <row r="16" spans="1:14" x14ac:dyDescent="0.3">
      <c r="A16" s="134" t="s">
        <v>41</v>
      </c>
      <c r="B16" s="135"/>
      <c r="C16" s="135"/>
      <c r="D16" s="135"/>
      <c r="E16" s="136"/>
      <c r="F16" s="90"/>
      <c r="G16" s="90"/>
      <c r="H16" s="90"/>
      <c r="I16" s="133"/>
      <c r="J16" s="1"/>
      <c r="K16" s="1"/>
      <c r="L16" s="2"/>
      <c r="M16" s="2"/>
      <c r="N16" s="2"/>
    </row>
    <row r="17" spans="1:14" ht="33" customHeight="1" x14ac:dyDescent="0.3">
      <c r="A17" s="129" t="s">
        <v>42</v>
      </c>
      <c r="B17" s="130"/>
      <c r="C17" s="130"/>
      <c r="D17" s="131"/>
      <c r="E17" s="21">
        <v>10</v>
      </c>
      <c r="F17" s="76">
        <v>4</v>
      </c>
      <c r="G17" s="76">
        <v>3</v>
      </c>
      <c r="H17" s="76">
        <v>3</v>
      </c>
      <c r="I17" s="132">
        <f>IF(F17="N/A",4,F17)+IF(G17="N/A",3,G17)+IF(H17="N/A",3,H17)</f>
        <v>10</v>
      </c>
      <c r="J17" s="1"/>
      <c r="K17" s="1"/>
      <c r="L17" s="2"/>
      <c r="M17" s="2"/>
      <c r="N17" s="2"/>
    </row>
    <row r="18" spans="1:14" x14ac:dyDescent="0.3">
      <c r="A18" s="134" t="s">
        <v>43</v>
      </c>
      <c r="B18" s="135"/>
      <c r="C18" s="135"/>
      <c r="D18" s="135"/>
      <c r="E18" s="136"/>
      <c r="F18" s="137"/>
      <c r="G18" s="138"/>
      <c r="H18" s="139"/>
      <c r="I18" s="133"/>
      <c r="J18" s="1"/>
      <c r="K18" s="1"/>
      <c r="L18" s="2"/>
      <c r="M18" s="2"/>
      <c r="N18" s="2"/>
    </row>
    <row r="19" spans="1:14" ht="15.6" x14ac:dyDescent="0.3">
      <c r="A19" s="126" t="s">
        <v>44</v>
      </c>
      <c r="B19" s="127"/>
      <c r="C19" s="127"/>
      <c r="D19" s="128"/>
      <c r="E19" s="22">
        <f>E9+E11+E13+E15+E17</f>
        <v>50</v>
      </c>
      <c r="F19" s="2"/>
      <c r="G19" s="2"/>
      <c r="H19" s="23" t="s">
        <v>45</v>
      </c>
      <c r="I19" s="22">
        <f>SUM(I9:I18)</f>
        <v>50</v>
      </c>
      <c r="J19" s="1"/>
      <c r="K19" s="1"/>
      <c r="L19" s="2"/>
      <c r="M19" s="2"/>
      <c r="N19" s="2"/>
    </row>
    <row r="20" spans="1:14" x14ac:dyDescent="0.3">
      <c r="A20" s="4"/>
      <c r="B20" s="4"/>
      <c r="C20" s="4"/>
      <c r="D20" s="4"/>
      <c r="E20" s="5"/>
      <c r="F20" s="2"/>
      <c r="G20" s="2"/>
      <c r="H20" s="2"/>
      <c r="I20" s="5"/>
      <c r="J20" s="1"/>
      <c r="K20" s="1"/>
      <c r="L20" s="2"/>
      <c r="M20" s="2"/>
      <c r="N20" s="2"/>
    </row>
    <row r="21" spans="1:14" x14ac:dyDescent="0.3">
      <c r="A21" s="140" t="s">
        <v>46</v>
      </c>
      <c r="B21" s="140"/>
      <c r="C21" s="140"/>
      <c r="D21" s="140"/>
      <c r="E21" s="140"/>
      <c r="F21" s="140"/>
      <c r="G21" s="140"/>
      <c r="H21" s="140"/>
      <c r="I21" s="140"/>
      <c r="J21" s="1"/>
      <c r="K21" s="1"/>
      <c r="L21" s="2"/>
      <c r="M21" s="2"/>
      <c r="N21" s="2"/>
    </row>
    <row r="22" spans="1:14" ht="28.2" x14ac:dyDescent="0.35">
      <c r="A22" s="7"/>
      <c r="B22" s="7"/>
      <c r="C22" s="7"/>
      <c r="D22" s="24" t="s">
        <v>47</v>
      </c>
      <c r="E22" s="141"/>
      <c r="F22" s="142"/>
      <c r="G22" s="91"/>
      <c r="H22" s="91"/>
      <c r="I22" s="143" t="s">
        <v>48</v>
      </c>
      <c r="J22" s="10"/>
      <c r="K22" s="1"/>
      <c r="L22" s="2"/>
      <c r="M22" s="2"/>
      <c r="N22" s="2"/>
    </row>
    <row r="23" spans="1:14" ht="18" x14ac:dyDescent="0.35">
      <c r="A23" s="7"/>
      <c r="B23" s="7"/>
      <c r="C23" s="7"/>
      <c r="D23" s="25" t="s">
        <v>49</v>
      </c>
      <c r="E23" s="146"/>
      <c r="F23" s="147"/>
      <c r="G23" s="92"/>
      <c r="H23" s="92"/>
      <c r="I23" s="144"/>
      <c r="J23" s="10"/>
      <c r="K23" s="1"/>
      <c r="L23" s="2"/>
      <c r="M23" s="2"/>
      <c r="N23" s="2"/>
    </row>
    <row r="24" spans="1:14" ht="15.6" x14ac:dyDescent="0.3">
      <c r="A24" s="148" t="s">
        <v>50</v>
      </c>
      <c r="B24" s="149"/>
      <c r="C24" s="149"/>
      <c r="D24" s="150"/>
      <c r="E24" s="151" t="s">
        <v>51</v>
      </c>
      <c r="F24" s="152"/>
      <c r="G24" s="152"/>
      <c r="H24" s="153"/>
      <c r="I24" s="145"/>
      <c r="J24" s="1"/>
      <c r="K24" s="1"/>
      <c r="L24" s="2"/>
      <c r="M24" s="2"/>
      <c r="N24" s="2"/>
    </row>
    <row r="25" spans="1:14" ht="25.95" customHeight="1" x14ac:dyDescent="0.3">
      <c r="A25" s="120" t="s">
        <v>52</v>
      </c>
      <c r="B25" s="121"/>
      <c r="C25" s="121"/>
      <c r="D25" s="122"/>
      <c r="E25" s="123"/>
      <c r="F25" s="124"/>
      <c r="G25" s="93"/>
      <c r="H25" s="92"/>
      <c r="I25" s="94"/>
      <c r="J25" s="10"/>
      <c r="K25" s="2"/>
      <c r="L25" s="2"/>
      <c r="M25" s="2"/>
      <c r="N25" s="2"/>
    </row>
    <row r="26" spans="1:14" ht="30.6" customHeight="1" x14ac:dyDescent="0.3">
      <c r="A26" s="120" t="s">
        <v>53</v>
      </c>
      <c r="B26" s="121"/>
      <c r="C26" s="121"/>
      <c r="D26" s="122"/>
      <c r="E26" s="123"/>
      <c r="F26" s="124"/>
      <c r="G26" s="93"/>
      <c r="H26" s="92"/>
      <c r="I26" s="94"/>
      <c r="J26" s="10"/>
      <c r="K26" s="2"/>
      <c r="L26" s="2"/>
      <c r="M26" s="2"/>
      <c r="N26" s="2"/>
    </row>
    <row r="27" spans="1:14" ht="21" customHeight="1" x14ac:dyDescent="0.3">
      <c r="A27" s="120" t="s">
        <v>54</v>
      </c>
      <c r="B27" s="121"/>
      <c r="C27" s="121"/>
      <c r="D27" s="122"/>
      <c r="E27" s="123"/>
      <c r="F27" s="124"/>
      <c r="G27" s="93"/>
      <c r="H27" s="92"/>
      <c r="I27" s="94"/>
      <c r="J27" s="2"/>
      <c r="K27" s="2"/>
      <c r="L27" s="2"/>
      <c r="M27" s="2"/>
      <c r="N27" s="2"/>
    </row>
    <row r="28" spans="1:14" ht="75" customHeight="1" x14ac:dyDescent="0.3">
      <c r="A28" s="120" t="s">
        <v>55</v>
      </c>
      <c r="B28" s="121"/>
      <c r="C28" s="121"/>
      <c r="D28" s="122"/>
      <c r="E28" s="123"/>
      <c r="F28" s="124"/>
      <c r="G28" s="93"/>
      <c r="H28" s="93"/>
      <c r="I28" s="94"/>
      <c r="J28" s="2"/>
      <c r="K28" s="2"/>
      <c r="L28" s="2"/>
      <c r="M28" s="2"/>
      <c r="N28" s="2"/>
    </row>
    <row r="29" spans="1:14" ht="30.6" customHeight="1" x14ac:dyDescent="0.3">
      <c r="A29" s="120" t="s">
        <v>56</v>
      </c>
      <c r="B29" s="121"/>
      <c r="C29" s="121"/>
      <c r="D29" s="122"/>
      <c r="E29" s="123"/>
      <c r="F29" s="124"/>
      <c r="G29" s="93"/>
      <c r="H29" s="93"/>
      <c r="I29" s="94"/>
      <c r="J29" s="2"/>
      <c r="K29" s="2"/>
      <c r="L29" s="2"/>
      <c r="M29" s="2"/>
      <c r="N29" s="2"/>
    </row>
    <row r="30" spans="1:14" x14ac:dyDescent="0.3">
      <c r="A30" s="125"/>
      <c r="B30" s="125"/>
      <c r="C30" s="1"/>
      <c r="D30" s="1"/>
      <c r="E30" s="3"/>
      <c r="F30" s="1"/>
      <c r="G30" s="1"/>
      <c r="H30" s="1"/>
      <c r="I30" s="3"/>
      <c r="J30" s="2"/>
      <c r="K30" s="2"/>
      <c r="L30" s="2"/>
      <c r="M30" s="2"/>
      <c r="N30" s="2"/>
    </row>
    <row r="31" spans="1:14" x14ac:dyDescent="0.3">
      <c r="A31" s="119"/>
      <c r="B31" s="119"/>
      <c r="C31" s="1"/>
      <c r="D31" s="1"/>
      <c r="E31" s="3"/>
      <c r="F31" s="1"/>
      <c r="G31" s="1"/>
      <c r="H31" s="1"/>
      <c r="I31" s="3"/>
      <c r="J31" s="2"/>
      <c r="K31" s="2"/>
      <c r="L31" s="2"/>
      <c r="M31" s="2"/>
      <c r="N31" s="2"/>
    </row>
    <row r="32" spans="1:14" x14ac:dyDescent="0.3">
      <c r="A32" s="119"/>
      <c r="B32" s="119"/>
      <c r="C32" s="1"/>
      <c r="D32" s="1"/>
      <c r="E32" s="3"/>
      <c r="F32" s="1"/>
      <c r="G32" s="1"/>
      <c r="H32" s="1"/>
      <c r="I32" s="3"/>
      <c r="J32" s="2"/>
      <c r="K32" s="2"/>
      <c r="L32" s="2"/>
      <c r="M32" s="2"/>
      <c r="N32" s="2"/>
    </row>
    <row r="33" spans="1:14" x14ac:dyDescent="0.3">
      <c r="A33" s="119"/>
      <c r="B33" s="119"/>
      <c r="C33" s="1"/>
      <c r="D33" s="1"/>
      <c r="E33" s="3"/>
      <c r="F33" s="1"/>
      <c r="G33" s="1"/>
      <c r="H33" s="1"/>
      <c r="I33" s="3"/>
      <c r="J33" s="2"/>
      <c r="K33" s="2"/>
      <c r="L33" s="2"/>
      <c r="M33" s="2"/>
      <c r="N33" s="2"/>
    </row>
  </sheetData>
  <mergeCells count="42">
    <mergeCell ref="B1:E1"/>
    <mergeCell ref="A2:B2"/>
    <mergeCell ref="A4:D7"/>
    <mergeCell ref="A8:D8"/>
    <mergeCell ref="F8:H8"/>
    <mergeCell ref="I9:I10"/>
    <mergeCell ref="A10:E10"/>
    <mergeCell ref="A11:D11"/>
    <mergeCell ref="I11:I12"/>
    <mergeCell ref="A12:E12"/>
    <mergeCell ref="A9:D9"/>
    <mergeCell ref="A13:D13"/>
    <mergeCell ref="I13:I14"/>
    <mergeCell ref="A14:E14"/>
    <mergeCell ref="A15:D15"/>
    <mergeCell ref="I15:I16"/>
    <mergeCell ref="A16:E16"/>
    <mergeCell ref="A25:D25"/>
    <mergeCell ref="E25:F25"/>
    <mergeCell ref="A19:D19"/>
    <mergeCell ref="A17:D17"/>
    <mergeCell ref="I17:I18"/>
    <mergeCell ref="A18:E18"/>
    <mergeCell ref="F18:H18"/>
    <mergeCell ref="A21:I21"/>
    <mergeCell ref="E22:F22"/>
    <mergeCell ref="I22:I24"/>
    <mergeCell ref="E23:F23"/>
    <mergeCell ref="A24:D24"/>
    <mergeCell ref="E24:H24"/>
    <mergeCell ref="A33:B33"/>
    <mergeCell ref="A26:D26"/>
    <mergeCell ref="E26:F26"/>
    <mergeCell ref="A27:D27"/>
    <mergeCell ref="E27:F27"/>
    <mergeCell ref="A28:D28"/>
    <mergeCell ref="E28:F28"/>
    <mergeCell ref="A29:D29"/>
    <mergeCell ref="E29:F29"/>
    <mergeCell ref="A30:B30"/>
    <mergeCell ref="A31:B31"/>
    <mergeCell ref="A32:B32"/>
  </mergeCells>
  <pageMargins left="0.7" right="0.7" top="0.75" bottom="0.75" header="0.3" footer="0.3"/>
  <extLst>
    <ext xmlns:x14="http://schemas.microsoft.com/office/spreadsheetml/2009/9/main" uri="{CCE6A557-97BC-4b89-ADB6-D9C93CAAB3DF}">
      <x14:dataValidations xmlns:xm="http://schemas.microsoft.com/office/excel/2006/main" count="5">
        <x14:dataValidation type="list" allowBlank="1" showInputMessage="1" showErrorMessage="1" xr:uid="{A0DF5380-4614-4BF2-B54D-350793F32131}">
          <x14:formula1>
            <xm:f>Data!$E$3:$E$5</xm:f>
          </x14:formula1>
          <xm:sqref>F9 F17 F13 F15</xm:sqref>
        </x14:dataValidation>
        <x14:dataValidation type="list" allowBlank="1" showInputMessage="1" showErrorMessage="1" xr:uid="{9E61FA85-ED6F-4F08-81F7-91204E3B8C2E}">
          <x14:formula1>
            <xm:f>Data!$G$3:$G$5</xm:f>
          </x14:formula1>
          <xm:sqref>G9:H9 G17:H17 G13:H13 G15:H15</xm:sqref>
        </x14:dataValidation>
        <x14:dataValidation type="list" allowBlank="1" showInputMessage="1" showErrorMessage="1" xr:uid="{F03D6D3E-4DC8-43B7-AE02-964B7CDDC46A}">
          <x14:formula1>
            <xm:f>Data!$I$3:$I$5</xm:f>
          </x14:formula1>
          <xm:sqref>F11</xm:sqref>
        </x14:dataValidation>
        <x14:dataValidation type="list" allowBlank="1" showInputMessage="1" showErrorMessage="1" xr:uid="{A59FB448-9D8D-4DAF-8EC2-0016D36EF366}">
          <x14:formula1>
            <xm:f>Data!$A$23:$A$28</xm:f>
          </x14:formula1>
          <xm:sqref>F5:H5</xm:sqref>
        </x14:dataValidation>
        <x14:dataValidation type="list" allowBlank="1" showInputMessage="1" showErrorMessage="1" xr:uid="{32D09593-0382-4240-9C8D-42F7D14E3326}">
          <x14:formula1>
            <xm:f>Data!$C$20:$C$29</xm:f>
          </x14:formula1>
          <xm:sqref>F6:H6</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D4C5EC-57A4-4EFF-96EF-E218CCD0AA67}">
  <sheetPr>
    <tabColor rgb="FF00B0F0"/>
  </sheetPr>
  <dimension ref="A1:N34"/>
  <sheetViews>
    <sheetView topLeftCell="A17" workbookViewId="0">
      <selection activeCell="H19" sqref="H19"/>
    </sheetView>
  </sheetViews>
  <sheetFormatPr defaultRowHeight="14.4" x14ac:dyDescent="0.3"/>
  <cols>
    <col min="4" max="4" width="12" customWidth="1"/>
    <col min="5" max="5" width="10.6640625" customWidth="1"/>
    <col min="6" max="8" width="29.6640625" customWidth="1"/>
  </cols>
  <sheetData>
    <row r="1" spans="1:14" x14ac:dyDescent="0.3">
      <c r="A1" s="2" t="s">
        <v>21</v>
      </c>
      <c r="B1" s="172">
        <v>45955</v>
      </c>
      <c r="C1" s="155"/>
      <c r="D1" s="155"/>
      <c r="E1" s="155"/>
      <c r="F1" s="2"/>
      <c r="G1" s="4" t="s">
        <v>22</v>
      </c>
      <c r="H1" s="95" t="s">
        <v>307</v>
      </c>
      <c r="I1" s="5"/>
      <c r="J1" s="2"/>
      <c r="K1" s="2"/>
      <c r="L1" s="2"/>
      <c r="M1" s="2"/>
      <c r="N1" s="2"/>
    </row>
    <row r="2" spans="1:14" x14ac:dyDescent="0.3">
      <c r="A2" s="156"/>
      <c r="B2" s="156"/>
      <c r="C2" s="2"/>
      <c r="D2" s="2"/>
      <c r="E2" s="5"/>
      <c r="F2" s="2"/>
      <c r="G2" s="2"/>
      <c r="H2" s="2"/>
      <c r="I2" s="5"/>
      <c r="J2" s="2"/>
      <c r="K2" s="2"/>
      <c r="L2" s="2"/>
      <c r="M2" s="2"/>
      <c r="N2" s="2"/>
    </row>
    <row r="3" spans="1:14" ht="18" x14ac:dyDescent="0.35">
      <c r="A3" s="6"/>
      <c r="B3" s="6"/>
      <c r="C3" s="6"/>
      <c r="D3" s="6"/>
      <c r="E3" s="7"/>
      <c r="F3" s="7"/>
      <c r="G3" s="7"/>
      <c r="H3" s="7"/>
      <c r="I3" s="7"/>
      <c r="J3" s="7"/>
      <c r="K3" s="2"/>
      <c r="L3" s="2"/>
      <c r="M3" s="2"/>
      <c r="N3" s="2"/>
    </row>
    <row r="4" spans="1:14" ht="27.6" x14ac:dyDescent="0.3">
      <c r="A4" s="157" t="s">
        <v>57</v>
      </c>
      <c r="B4" s="158"/>
      <c r="C4" s="158"/>
      <c r="D4" s="159"/>
      <c r="E4" s="8" t="s">
        <v>25</v>
      </c>
      <c r="F4" s="86" t="s">
        <v>308</v>
      </c>
      <c r="G4" s="87" t="s">
        <v>312</v>
      </c>
      <c r="H4" s="88" t="s">
        <v>316</v>
      </c>
      <c r="I4" s="5"/>
      <c r="J4" s="10"/>
      <c r="K4" s="2"/>
      <c r="L4" s="2"/>
      <c r="M4" s="2"/>
      <c r="N4" s="2"/>
    </row>
    <row r="5" spans="1:14" ht="27.6" x14ac:dyDescent="0.3">
      <c r="A5" s="160"/>
      <c r="B5" s="161"/>
      <c r="C5" s="161"/>
      <c r="D5" s="162"/>
      <c r="E5" s="9" t="s">
        <v>26</v>
      </c>
      <c r="F5" s="94" t="s">
        <v>204</v>
      </c>
      <c r="G5" s="94" t="s">
        <v>190</v>
      </c>
      <c r="H5" s="94" t="s">
        <v>191</v>
      </c>
      <c r="I5" s="5"/>
      <c r="J5" s="10"/>
      <c r="K5" s="2"/>
      <c r="L5" s="2"/>
      <c r="M5" s="2"/>
      <c r="N5" s="2"/>
    </row>
    <row r="6" spans="1:14" x14ac:dyDescent="0.3">
      <c r="A6" s="160"/>
      <c r="B6" s="161"/>
      <c r="C6" s="161"/>
      <c r="D6" s="162"/>
      <c r="E6" s="14" t="s">
        <v>58</v>
      </c>
      <c r="F6" s="94" t="s">
        <v>190</v>
      </c>
      <c r="G6" s="94" t="s">
        <v>190</v>
      </c>
      <c r="H6" s="94" t="s">
        <v>190</v>
      </c>
      <c r="I6" s="13"/>
      <c r="J6" s="12"/>
      <c r="K6" s="12"/>
      <c r="L6" s="12"/>
      <c r="M6" s="12"/>
      <c r="N6" s="12"/>
    </row>
    <row r="7" spans="1:14" ht="27.6" x14ac:dyDescent="0.3">
      <c r="A7" s="163"/>
      <c r="B7" s="164"/>
      <c r="C7" s="164"/>
      <c r="D7" s="165"/>
      <c r="E7" s="14" t="s">
        <v>29</v>
      </c>
      <c r="F7" s="89" t="s">
        <v>309</v>
      </c>
      <c r="G7" s="89" t="s">
        <v>313</v>
      </c>
      <c r="H7" s="89" t="s">
        <v>309</v>
      </c>
      <c r="I7" s="13"/>
      <c r="J7" s="12"/>
      <c r="K7" s="12"/>
      <c r="L7" s="12"/>
      <c r="M7" s="12"/>
      <c r="N7" s="12"/>
    </row>
    <row r="8" spans="1:14" ht="78.599999999999994" customHeight="1" x14ac:dyDescent="0.3">
      <c r="A8" s="166" t="s">
        <v>30</v>
      </c>
      <c r="B8" s="167"/>
      <c r="C8" s="167"/>
      <c r="D8" s="168"/>
      <c r="E8" s="16" t="s">
        <v>31</v>
      </c>
      <c r="F8" s="166" t="s">
        <v>32</v>
      </c>
      <c r="G8" s="167"/>
      <c r="H8" s="168"/>
      <c r="I8" s="16" t="s">
        <v>33</v>
      </c>
      <c r="J8" s="17"/>
      <c r="K8" s="17"/>
      <c r="L8" s="18"/>
      <c r="M8" s="18"/>
      <c r="N8" s="18"/>
    </row>
    <row r="9" spans="1:14" ht="70.5" customHeight="1" x14ac:dyDescent="0.3">
      <c r="A9" s="129" t="s">
        <v>59</v>
      </c>
      <c r="B9" s="130"/>
      <c r="C9" s="130"/>
      <c r="D9" s="131"/>
      <c r="E9" s="15">
        <v>10</v>
      </c>
      <c r="F9" s="76">
        <v>4</v>
      </c>
      <c r="G9" s="76">
        <v>3</v>
      </c>
      <c r="H9" s="76">
        <v>3</v>
      </c>
      <c r="I9" s="132">
        <f>IF(F9="N/A",4,F9)+IF(G9="N/A",3,G9)+IF(H9="N/A",3,H9)</f>
        <v>10</v>
      </c>
      <c r="J9" s="10"/>
      <c r="K9" s="6"/>
      <c r="L9" s="6"/>
      <c r="M9" s="6"/>
      <c r="N9" s="6"/>
    </row>
    <row r="10" spans="1:14" ht="18" x14ac:dyDescent="0.3">
      <c r="A10" s="134" t="s">
        <v>35</v>
      </c>
      <c r="B10" s="135"/>
      <c r="C10" s="135"/>
      <c r="D10" s="135"/>
      <c r="E10" s="136"/>
      <c r="F10" s="90"/>
      <c r="G10" s="90" t="s">
        <v>314</v>
      </c>
      <c r="H10" s="90" t="s">
        <v>310</v>
      </c>
      <c r="I10" s="133"/>
      <c r="J10" s="10"/>
      <c r="K10" s="6"/>
      <c r="L10" s="6"/>
      <c r="M10" s="6"/>
      <c r="N10" s="6"/>
    </row>
    <row r="11" spans="1:14" ht="79.2" customHeight="1" x14ac:dyDescent="0.3">
      <c r="A11" s="129" t="s">
        <v>60</v>
      </c>
      <c r="B11" s="130"/>
      <c r="C11" s="130"/>
      <c r="D11" s="131"/>
      <c r="E11" s="19">
        <v>10</v>
      </c>
      <c r="F11" s="76">
        <v>4</v>
      </c>
      <c r="G11" s="76">
        <v>4</v>
      </c>
      <c r="H11" s="76">
        <v>4</v>
      </c>
      <c r="I11" s="132">
        <f>IF(F11="N/A",4,F11)+IF(G11="N/A",3,G11)+IF(H11="N/A",3,H11)</f>
        <v>12</v>
      </c>
      <c r="J11" s="1"/>
      <c r="K11" s="6"/>
      <c r="L11" s="6"/>
      <c r="M11" s="6"/>
      <c r="N11" s="6"/>
    </row>
    <row r="12" spans="1:14" ht="18" x14ac:dyDescent="0.3">
      <c r="A12" s="134" t="s">
        <v>37</v>
      </c>
      <c r="B12" s="135"/>
      <c r="C12" s="135"/>
      <c r="D12" s="135"/>
      <c r="E12" s="136"/>
      <c r="F12" s="90" t="s">
        <v>310</v>
      </c>
      <c r="G12" s="90" t="s">
        <v>314</v>
      </c>
      <c r="H12" s="90"/>
      <c r="I12" s="133"/>
      <c r="J12" s="1"/>
      <c r="K12" s="6"/>
      <c r="L12" s="6"/>
      <c r="M12" s="6"/>
      <c r="N12" s="6"/>
    </row>
    <row r="13" spans="1:14" ht="114.75" customHeight="1" x14ac:dyDescent="0.3">
      <c r="A13" s="169" t="s">
        <v>61</v>
      </c>
      <c r="B13" s="170"/>
      <c r="C13" s="170"/>
      <c r="D13" s="171"/>
      <c r="E13" s="19">
        <v>10</v>
      </c>
      <c r="F13" s="76">
        <v>0</v>
      </c>
      <c r="G13" s="76">
        <v>0</v>
      </c>
      <c r="H13" s="76">
        <v>0</v>
      </c>
      <c r="I13" s="132">
        <f>IF(F13="N/A",4,F13)+IF(G13="N/A",3,G13)+IF(H13="N/A",3,H13)</f>
        <v>0</v>
      </c>
      <c r="J13" s="1"/>
      <c r="K13" s="6"/>
      <c r="L13" s="6"/>
      <c r="M13" s="6"/>
      <c r="N13" s="6"/>
    </row>
    <row r="14" spans="1:14" ht="27.6" x14ac:dyDescent="0.3">
      <c r="A14" s="134" t="s">
        <v>39</v>
      </c>
      <c r="B14" s="135"/>
      <c r="C14" s="135"/>
      <c r="D14" s="135"/>
      <c r="E14" s="136"/>
      <c r="F14" s="90" t="s">
        <v>311</v>
      </c>
      <c r="G14" s="90" t="s">
        <v>315</v>
      </c>
      <c r="H14" s="90" t="s">
        <v>317</v>
      </c>
      <c r="I14" s="133"/>
      <c r="J14" s="1"/>
      <c r="K14" s="6"/>
      <c r="L14" s="6"/>
      <c r="M14" s="6"/>
      <c r="N14" s="6"/>
    </row>
    <row r="15" spans="1:14" ht="93.75" customHeight="1" x14ac:dyDescent="0.3">
      <c r="A15" s="129" t="s">
        <v>62</v>
      </c>
      <c r="B15" s="130"/>
      <c r="C15" s="130"/>
      <c r="D15" s="131"/>
      <c r="E15" s="15">
        <v>10</v>
      </c>
      <c r="F15" s="76">
        <v>4</v>
      </c>
      <c r="G15" s="76">
        <v>4</v>
      </c>
      <c r="H15" s="76">
        <v>4</v>
      </c>
      <c r="I15" s="132">
        <f>IF(F15="N/A",4,F15)+IF(G15="N/A",3,G15)+IF(H15="N/A",3,H15)</f>
        <v>12</v>
      </c>
      <c r="J15" s="1"/>
      <c r="K15" s="1"/>
      <c r="L15" s="2"/>
      <c r="M15" s="2"/>
      <c r="N15" s="2"/>
    </row>
    <row r="16" spans="1:14" x14ac:dyDescent="0.3">
      <c r="A16" s="134" t="s">
        <v>41</v>
      </c>
      <c r="B16" s="135"/>
      <c r="C16" s="135"/>
      <c r="D16" s="135"/>
      <c r="E16" s="136"/>
      <c r="F16" s="90"/>
      <c r="G16" s="90"/>
      <c r="H16" s="90"/>
      <c r="I16" s="133"/>
      <c r="J16" s="1"/>
      <c r="K16" s="1"/>
      <c r="L16" s="2"/>
      <c r="M16" s="2"/>
      <c r="N16" s="2"/>
    </row>
    <row r="17" spans="1:14" ht="78.599999999999994" customHeight="1" x14ac:dyDescent="0.3">
      <c r="A17" s="130" t="s">
        <v>63</v>
      </c>
      <c r="B17" s="130"/>
      <c r="C17" s="130"/>
      <c r="D17" s="131"/>
      <c r="E17" s="11">
        <v>10</v>
      </c>
      <c r="F17" s="76" t="s">
        <v>97</v>
      </c>
      <c r="G17" s="76" t="s">
        <v>97</v>
      </c>
      <c r="H17" s="76" t="s">
        <v>97</v>
      </c>
      <c r="I17" s="132">
        <f>IF(F17="N/A",4,F17)+IF(G17="N/A",3,G17)+IF(H17="N/A",3,H17)</f>
        <v>10</v>
      </c>
      <c r="J17" s="1"/>
      <c r="K17" s="1"/>
      <c r="L17" s="2"/>
      <c r="M17" s="2"/>
      <c r="N17" s="2"/>
    </row>
    <row r="18" spans="1:14" x14ac:dyDescent="0.3">
      <c r="A18" s="134" t="s">
        <v>43</v>
      </c>
      <c r="B18" s="135"/>
      <c r="C18" s="135"/>
      <c r="D18" s="135"/>
      <c r="E18" s="136"/>
      <c r="F18" s="96"/>
      <c r="G18" s="98"/>
      <c r="H18" s="97"/>
      <c r="I18" s="133"/>
      <c r="J18" s="1"/>
      <c r="K18" s="1"/>
      <c r="L18" s="2"/>
      <c r="M18" s="2"/>
      <c r="N18" s="2"/>
    </row>
    <row r="19" spans="1:14" ht="85.5" customHeight="1" x14ac:dyDescent="0.3">
      <c r="A19" s="129" t="s">
        <v>64</v>
      </c>
      <c r="B19" s="130"/>
      <c r="C19" s="130"/>
      <c r="D19" s="131"/>
      <c r="E19" s="21">
        <v>10</v>
      </c>
      <c r="F19" s="76" t="s">
        <v>97</v>
      </c>
      <c r="G19" s="76" t="s">
        <v>97</v>
      </c>
      <c r="H19" s="76" t="s">
        <v>97</v>
      </c>
      <c r="I19" s="132">
        <f>IF(F19="N/A",4,F19)+IF(G19="N/A",3,G19)+IF(H19="N/A",3,H19)</f>
        <v>10</v>
      </c>
      <c r="J19" s="1"/>
      <c r="K19" s="1"/>
      <c r="L19" s="2"/>
      <c r="M19" s="2"/>
      <c r="N19" s="2"/>
    </row>
    <row r="20" spans="1:14" x14ac:dyDescent="0.3">
      <c r="A20" s="134" t="s">
        <v>65</v>
      </c>
      <c r="B20" s="135"/>
      <c r="C20" s="135"/>
      <c r="D20" s="135"/>
      <c r="E20" s="136"/>
      <c r="F20" s="96"/>
      <c r="G20" s="98"/>
      <c r="H20" s="97"/>
      <c r="I20" s="133"/>
      <c r="J20" s="1"/>
      <c r="K20" s="1"/>
      <c r="L20" s="2"/>
      <c r="M20" s="2"/>
      <c r="N20" s="2"/>
    </row>
    <row r="21" spans="1:14" ht="15.6" x14ac:dyDescent="0.3">
      <c r="A21" s="126" t="s">
        <v>66</v>
      </c>
      <c r="B21" s="127"/>
      <c r="C21" s="127"/>
      <c r="D21" s="128"/>
      <c r="E21" s="22">
        <f>E9+E11+E13+E15+E17+E19</f>
        <v>60</v>
      </c>
      <c r="F21" s="2"/>
      <c r="G21" s="2"/>
      <c r="H21" s="23" t="s">
        <v>45</v>
      </c>
      <c r="I21" s="22">
        <f>SUM(I9:I20)</f>
        <v>54</v>
      </c>
      <c r="J21" s="1"/>
      <c r="K21" s="1"/>
      <c r="L21" s="2"/>
      <c r="M21" s="2"/>
      <c r="N21" s="2"/>
    </row>
    <row r="22" spans="1:14" x14ac:dyDescent="0.3">
      <c r="A22" s="140" t="s">
        <v>46</v>
      </c>
      <c r="B22" s="140"/>
      <c r="C22" s="140"/>
      <c r="D22" s="140"/>
      <c r="E22" s="140"/>
      <c r="F22" s="140"/>
      <c r="G22" s="140"/>
      <c r="H22" s="140"/>
      <c r="I22" s="140"/>
      <c r="J22" s="1"/>
      <c r="K22" s="1"/>
      <c r="L22" s="2"/>
      <c r="M22" s="2"/>
      <c r="N22" s="2"/>
    </row>
    <row r="23" spans="1:14" ht="28.2" x14ac:dyDescent="0.35">
      <c r="A23" s="7"/>
      <c r="B23" s="7"/>
      <c r="C23" s="7"/>
      <c r="D23" s="24" t="s">
        <v>47</v>
      </c>
      <c r="E23" s="141"/>
      <c r="F23" s="142"/>
      <c r="G23" s="91"/>
      <c r="H23" s="91"/>
      <c r="I23" s="143" t="s">
        <v>48</v>
      </c>
      <c r="J23" s="10"/>
      <c r="K23" s="1"/>
      <c r="L23" s="2"/>
      <c r="M23" s="2"/>
      <c r="N23" s="2"/>
    </row>
    <row r="24" spans="1:14" ht="18" x14ac:dyDescent="0.35">
      <c r="A24" s="7"/>
      <c r="B24" s="7"/>
      <c r="C24" s="7"/>
      <c r="D24" s="24" t="s">
        <v>49</v>
      </c>
      <c r="E24" s="146"/>
      <c r="F24" s="147"/>
      <c r="G24" s="92"/>
      <c r="H24" s="92"/>
      <c r="I24" s="144"/>
      <c r="J24" s="10"/>
      <c r="K24" s="1"/>
      <c r="L24" s="2"/>
      <c r="M24" s="2"/>
      <c r="N24" s="2"/>
    </row>
    <row r="25" spans="1:14" ht="15.6" x14ac:dyDescent="0.3">
      <c r="A25" s="148" t="s">
        <v>50</v>
      </c>
      <c r="B25" s="149"/>
      <c r="C25" s="149"/>
      <c r="D25" s="150"/>
      <c r="E25" s="151" t="s">
        <v>51</v>
      </c>
      <c r="F25" s="152"/>
      <c r="G25" s="152"/>
      <c r="H25" s="153"/>
      <c r="I25" s="145"/>
      <c r="J25" s="1"/>
      <c r="K25" s="1"/>
      <c r="L25" s="2"/>
      <c r="M25" s="2"/>
      <c r="N25" s="2"/>
    </row>
    <row r="26" spans="1:14" ht="24.6" customHeight="1" x14ac:dyDescent="0.3">
      <c r="A26" s="120" t="s">
        <v>67</v>
      </c>
      <c r="B26" s="121"/>
      <c r="C26" s="121"/>
      <c r="D26" s="122"/>
      <c r="E26" s="123"/>
      <c r="F26" s="124"/>
      <c r="G26" s="93"/>
      <c r="H26" s="92"/>
      <c r="I26" s="94"/>
      <c r="J26" s="2"/>
      <c r="K26" s="2"/>
      <c r="L26" s="2"/>
      <c r="M26" s="2"/>
      <c r="N26" s="2"/>
    </row>
    <row r="27" spans="1:14" ht="24.6" customHeight="1" x14ac:dyDescent="0.3">
      <c r="A27" s="120" t="s">
        <v>68</v>
      </c>
      <c r="B27" s="121"/>
      <c r="C27" s="121"/>
      <c r="D27" s="122"/>
      <c r="E27" s="123"/>
      <c r="F27" s="124"/>
      <c r="G27" s="93"/>
      <c r="H27" s="92"/>
      <c r="I27" s="94"/>
      <c r="J27" s="2"/>
      <c r="K27" s="2"/>
      <c r="L27" s="2"/>
      <c r="M27" s="2"/>
      <c r="N27" s="2"/>
    </row>
    <row r="28" spans="1:14" ht="24.6" customHeight="1" x14ac:dyDescent="0.3">
      <c r="A28" s="120" t="s">
        <v>69</v>
      </c>
      <c r="B28" s="121"/>
      <c r="C28" s="121"/>
      <c r="D28" s="122"/>
      <c r="E28" s="123"/>
      <c r="F28" s="124"/>
      <c r="G28" s="93"/>
      <c r="H28" s="92"/>
      <c r="I28" s="94"/>
      <c r="J28" s="2"/>
      <c r="K28" s="2"/>
      <c r="L28" s="2"/>
      <c r="M28" s="2"/>
      <c r="N28" s="2"/>
    </row>
    <row r="29" spans="1:14" ht="35.4" customHeight="1" x14ac:dyDescent="0.3">
      <c r="A29" s="120" t="s">
        <v>70</v>
      </c>
      <c r="B29" s="121"/>
      <c r="C29" s="121"/>
      <c r="D29" s="122"/>
      <c r="E29" s="123"/>
      <c r="F29" s="124"/>
      <c r="G29" s="93"/>
      <c r="H29" s="93"/>
      <c r="I29" s="94"/>
      <c r="J29" s="2"/>
      <c r="K29" s="2"/>
      <c r="L29" s="2"/>
      <c r="M29" s="2"/>
      <c r="N29" s="2"/>
    </row>
    <row r="30" spans="1:14" x14ac:dyDescent="0.3">
      <c r="A30" s="120" t="s">
        <v>71</v>
      </c>
      <c r="B30" s="121"/>
      <c r="C30" s="121"/>
      <c r="D30" s="122"/>
      <c r="E30" s="123"/>
      <c r="F30" s="124"/>
      <c r="G30" s="93"/>
      <c r="H30" s="93"/>
      <c r="I30" s="94"/>
      <c r="J30" s="2"/>
      <c r="K30" s="2"/>
      <c r="L30" s="2"/>
      <c r="M30" s="2"/>
      <c r="N30" s="2"/>
    </row>
    <row r="31" spans="1:14" x14ac:dyDescent="0.3">
      <c r="A31" s="125"/>
      <c r="B31" s="125"/>
      <c r="C31" s="1"/>
      <c r="D31" s="1"/>
      <c r="E31" s="3"/>
      <c r="F31" s="1"/>
      <c r="G31" s="1"/>
      <c r="H31" s="1"/>
      <c r="I31" s="3"/>
      <c r="J31" s="2"/>
      <c r="K31" s="2"/>
      <c r="L31" s="2"/>
      <c r="M31" s="2"/>
      <c r="N31" s="2"/>
    </row>
    <row r="32" spans="1:14" x14ac:dyDescent="0.3">
      <c r="A32" s="119"/>
      <c r="B32" s="119"/>
      <c r="C32" s="1"/>
      <c r="D32" s="1"/>
      <c r="E32" s="3"/>
      <c r="F32" s="1"/>
      <c r="G32" s="1"/>
      <c r="H32" s="1"/>
      <c r="I32" s="3"/>
      <c r="J32" s="2"/>
      <c r="K32" s="2"/>
      <c r="L32" s="2"/>
      <c r="M32" s="2"/>
      <c r="N32" s="2"/>
    </row>
    <row r="33" spans="1:14" x14ac:dyDescent="0.3">
      <c r="A33" s="119"/>
      <c r="B33" s="119"/>
      <c r="C33" s="1"/>
      <c r="D33" s="1"/>
      <c r="E33" s="3"/>
      <c r="F33" s="1"/>
      <c r="G33" s="1"/>
      <c r="H33" s="1"/>
      <c r="I33" s="3"/>
      <c r="J33" s="2"/>
      <c r="K33" s="2"/>
      <c r="L33" s="2"/>
      <c r="M33" s="2"/>
      <c r="N33" s="2"/>
    </row>
    <row r="34" spans="1:14" x14ac:dyDescent="0.3">
      <c r="A34" s="119"/>
      <c r="B34" s="119"/>
      <c r="C34" s="1"/>
      <c r="D34" s="1"/>
      <c r="E34" s="3"/>
      <c r="F34" s="1"/>
      <c r="G34" s="1"/>
      <c r="H34" s="1"/>
      <c r="I34" s="3"/>
      <c r="J34" s="2"/>
      <c r="K34" s="2"/>
      <c r="L34" s="2"/>
      <c r="M34" s="2"/>
      <c r="N34" s="2"/>
    </row>
  </sheetData>
  <mergeCells count="44">
    <mergeCell ref="A13:D13"/>
    <mergeCell ref="I13:I14"/>
    <mergeCell ref="A14:E14"/>
    <mergeCell ref="B1:E1"/>
    <mergeCell ref="A2:B2"/>
    <mergeCell ref="A4:D7"/>
    <mergeCell ref="A8:D8"/>
    <mergeCell ref="F8:H8"/>
    <mergeCell ref="A9:D9"/>
    <mergeCell ref="I9:I10"/>
    <mergeCell ref="A10:E10"/>
    <mergeCell ref="A11:D11"/>
    <mergeCell ref="I11:I12"/>
    <mergeCell ref="A12:E12"/>
    <mergeCell ref="A21:D21"/>
    <mergeCell ref="A15:D15"/>
    <mergeCell ref="I15:I16"/>
    <mergeCell ref="A16:E16"/>
    <mergeCell ref="A17:D17"/>
    <mergeCell ref="I17:I18"/>
    <mergeCell ref="A18:E18"/>
    <mergeCell ref="A19:D19"/>
    <mergeCell ref="I19:I20"/>
    <mergeCell ref="A20:E20"/>
    <mergeCell ref="A22:I22"/>
    <mergeCell ref="A26:D26"/>
    <mergeCell ref="E26:F26"/>
    <mergeCell ref="A27:D27"/>
    <mergeCell ref="E27:F27"/>
    <mergeCell ref="E23:F23"/>
    <mergeCell ref="I23:I25"/>
    <mergeCell ref="E24:F24"/>
    <mergeCell ref="A25:D25"/>
    <mergeCell ref="E25:H25"/>
    <mergeCell ref="A28:D28"/>
    <mergeCell ref="E28:F28"/>
    <mergeCell ref="A33:B33"/>
    <mergeCell ref="A34:B34"/>
    <mergeCell ref="A29:D29"/>
    <mergeCell ref="E29:F29"/>
    <mergeCell ref="A30:D30"/>
    <mergeCell ref="E30:F30"/>
    <mergeCell ref="A31:B31"/>
    <mergeCell ref="A32:B32"/>
  </mergeCells>
  <pageMargins left="0.7" right="0.7" top="0.75" bottom="0.75" header="0.3" footer="0.3"/>
  <extLst>
    <ext xmlns:x14="http://schemas.microsoft.com/office/spreadsheetml/2009/9/main" uri="{CCE6A557-97BC-4b89-ADB6-D9C93CAAB3DF}">
      <x14:dataValidations xmlns:xm="http://schemas.microsoft.com/office/excel/2006/main" count="4">
        <x14:dataValidation type="list" allowBlank="1" showInputMessage="1" showErrorMessage="1" xr:uid="{A694B003-A26F-4861-9BA0-B378CD519CB5}">
          <x14:formula1>
            <xm:f>Data!$G$3:$G$5</xm:f>
          </x14:formula1>
          <xm:sqref>G9:H9</xm:sqref>
        </x14:dataValidation>
        <x14:dataValidation type="list" allowBlank="1" showInputMessage="1" showErrorMessage="1" xr:uid="{0A8EFE7D-098A-4741-B02A-02C7925F9C89}">
          <x14:formula1>
            <xm:f>Data!$E$3:$E$5</xm:f>
          </x14:formula1>
          <xm:sqref>F9 F11:H11 F13:H13 F15:H15 F17:H17 F19:H19</xm:sqref>
        </x14:dataValidation>
        <x14:dataValidation type="list" allowBlank="1" showInputMessage="1" showErrorMessage="1" xr:uid="{72D5C2D3-BF3E-4193-8121-BFDC032F1F98}">
          <x14:formula1>
            <xm:f>Data!$C$2:$C$9</xm:f>
          </x14:formula1>
          <xm:sqref>F5:H5</xm:sqref>
        </x14:dataValidation>
        <x14:dataValidation type="list" allowBlank="1" showInputMessage="1" showErrorMessage="1" xr:uid="{2203269C-134B-4CCF-91D7-D1587DE136D9}">
          <x14:formula1>
            <xm:f>Data!$A$2:$A$9</xm:f>
          </x14:formula1>
          <xm:sqref>F6:H6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9A06B8-0710-40B7-BE30-9930FE3D61A4}">
  <sheetPr>
    <tabColor rgb="FF92D050"/>
  </sheetPr>
  <dimension ref="A1:M50"/>
  <sheetViews>
    <sheetView zoomScale="84" workbookViewId="0">
      <selection activeCell="F4" sqref="F4"/>
    </sheetView>
  </sheetViews>
  <sheetFormatPr defaultRowHeight="14.4" x14ac:dyDescent="0.3"/>
  <cols>
    <col min="1" max="2" width="12.5546875" customWidth="1"/>
    <col min="3" max="3" width="12.33203125" customWidth="1"/>
    <col min="4" max="4" width="12.5546875" customWidth="1"/>
    <col min="5" max="5" width="29.5546875" customWidth="1"/>
    <col min="6" max="8" width="30.33203125" customWidth="1"/>
  </cols>
  <sheetData>
    <row r="1" spans="1:13" x14ac:dyDescent="0.3">
      <c r="A1" s="2" t="s">
        <v>21</v>
      </c>
      <c r="B1" s="172">
        <v>45932</v>
      </c>
      <c r="C1" s="155"/>
      <c r="D1" s="155"/>
      <c r="E1" s="155"/>
      <c r="F1" s="2"/>
      <c r="G1" s="4" t="s">
        <v>22</v>
      </c>
      <c r="H1" s="95" t="s">
        <v>72</v>
      </c>
      <c r="I1" s="5"/>
      <c r="J1" s="2"/>
      <c r="K1" s="2"/>
      <c r="L1" s="2"/>
      <c r="M1" s="2"/>
    </row>
    <row r="2" spans="1:13" x14ac:dyDescent="0.3">
      <c r="A2" s="156"/>
      <c r="B2" s="156"/>
      <c r="C2" s="2"/>
      <c r="D2" s="2"/>
      <c r="E2" s="5"/>
      <c r="F2" s="2"/>
      <c r="G2" s="2"/>
      <c r="H2" s="2"/>
      <c r="I2" s="5"/>
      <c r="J2" s="2"/>
      <c r="K2" s="2"/>
      <c r="L2" s="2"/>
      <c r="M2" s="2"/>
    </row>
    <row r="3" spans="1:13" ht="18" x14ac:dyDescent="0.35">
      <c r="A3" s="6"/>
      <c r="B3" s="6"/>
      <c r="C3" s="6"/>
      <c r="D3" s="6"/>
      <c r="E3" s="7"/>
      <c r="F3" s="7"/>
      <c r="G3" s="7"/>
      <c r="H3" s="7"/>
      <c r="I3" s="7"/>
      <c r="J3" s="7"/>
      <c r="K3" s="2"/>
      <c r="L3" s="2"/>
      <c r="M3" s="2"/>
    </row>
    <row r="4" spans="1:13" x14ac:dyDescent="0.3">
      <c r="A4" s="157" t="s">
        <v>73</v>
      </c>
      <c r="B4" s="158"/>
      <c r="C4" s="158"/>
      <c r="D4" s="159"/>
      <c r="E4" s="8" t="s">
        <v>25</v>
      </c>
      <c r="F4" s="86" t="s">
        <v>74</v>
      </c>
      <c r="G4" s="87" t="s">
        <v>75</v>
      </c>
      <c r="H4" s="88" t="s">
        <v>76</v>
      </c>
      <c r="I4" s="5"/>
      <c r="J4" s="10"/>
      <c r="K4" s="2"/>
      <c r="L4" s="2"/>
      <c r="M4" s="2"/>
    </row>
    <row r="5" spans="1:13" x14ac:dyDescent="0.3">
      <c r="A5" s="160"/>
      <c r="B5" s="161"/>
      <c r="C5" s="161"/>
      <c r="D5" s="162"/>
      <c r="E5" s="9" t="s">
        <v>26</v>
      </c>
      <c r="F5" s="94" t="s">
        <v>77</v>
      </c>
      <c r="G5" s="94" t="s">
        <v>77</v>
      </c>
      <c r="H5" s="94" t="s">
        <v>77</v>
      </c>
      <c r="I5" s="5"/>
      <c r="J5" s="10"/>
      <c r="K5" s="2"/>
      <c r="L5" s="2"/>
      <c r="M5" s="2"/>
    </row>
    <row r="6" spans="1:13" x14ac:dyDescent="0.3">
      <c r="A6" s="160"/>
      <c r="B6" s="161"/>
      <c r="C6" s="161"/>
      <c r="D6" s="162"/>
      <c r="E6" s="14" t="s">
        <v>78</v>
      </c>
      <c r="F6" s="94" t="s">
        <v>77</v>
      </c>
      <c r="G6" s="94" t="s">
        <v>77</v>
      </c>
      <c r="H6" s="94" t="s">
        <v>77</v>
      </c>
      <c r="I6" s="64"/>
      <c r="J6" s="12"/>
      <c r="K6" s="12"/>
      <c r="L6" s="12"/>
      <c r="M6" s="12"/>
    </row>
    <row r="7" spans="1:13" ht="27.6" x14ac:dyDescent="0.3">
      <c r="A7" s="163"/>
      <c r="B7" s="164"/>
      <c r="C7" s="164"/>
      <c r="D7" s="165"/>
      <c r="E7" s="14" t="s">
        <v>79</v>
      </c>
      <c r="F7" s="89" t="s">
        <v>80</v>
      </c>
      <c r="G7" s="89" t="s">
        <v>81</v>
      </c>
      <c r="H7" s="101" t="s">
        <v>82</v>
      </c>
      <c r="I7" s="64"/>
      <c r="J7" s="12"/>
      <c r="K7" s="12"/>
      <c r="L7" s="12"/>
      <c r="M7" s="12"/>
    </row>
    <row r="8" spans="1:13" ht="78.599999999999994" customHeight="1" x14ac:dyDescent="0.3">
      <c r="A8" s="166" t="s">
        <v>83</v>
      </c>
      <c r="B8" s="167"/>
      <c r="C8" s="167"/>
      <c r="D8" s="168"/>
      <c r="E8" s="16" t="s">
        <v>31</v>
      </c>
      <c r="F8" s="166" t="s">
        <v>32</v>
      </c>
      <c r="G8" s="167"/>
      <c r="H8" s="168"/>
      <c r="I8" s="16" t="s">
        <v>33</v>
      </c>
      <c r="J8" s="17"/>
      <c r="K8" s="17"/>
      <c r="L8" s="18"/>
      <c r="M8" s="18"/>
    </row>
    <row r="9" spans="1:13" ht="66.75" customHeight="1" x14ac:dyDescent="0.3">
      <c r="A9" s="129" t="s">
        <v>84</v>
      </c>
      <c r="B9" s="130"/>
      <c r="C9" s="130"/>
      <c r="D9" s="131"/>
      <c r="E9" s="15">
        <v>10</v>
      </c>
      <c r="F9" s="76">
        <v>4</v>
      </c>
      <c r="G9" s="76">
        <v>3</v>
      </c>
      <c r="H9" s="76">
        <v>3</v>
      </c>
      <c r="I9" s="132">
        <f>IF(F9="N/A",4,F9)+IF(G9="N/A",3,G9)+IF(H9="N/A",3,H9)</f>
        <v>10</v>
      </c>
      <c r="J9" s="10"/>
      <c r="K9" s="6"/>
      <c r="L9" s="6"/>
      <c r="M9" s="6"/>
    </row>
    <row r="10" spans="1:13" ht="96.6" x14ac:dyDescent="0.3">
      <c r="A10" s="134" t="s">
        <v>35</v>
      </c>
      <c r="B10" s="135"/>
      <c r="C10" s="135"/>
      <c r="D10" s="135"/>
      <c r="E10" s="136"/>
      <c r="F10" s="90" t="s">
        <v>85</v>
      </c>
      <c r="G10" s="90" t="s">
        <v>86</v>
      </c>
      <c r="H10" s="90" t="s">
        <v>86</v>
      </c>
      <c r="I10" s="133"/>
      <c r="J10" s="1"/>
      <c r="K10" s="6"/>
      <c r="L10" s="6"/>
      <c r="M10" s="6"/>
    </row>
    <row r="11" spans="1:13" ht="48.75" customHeight="1" x14ac:dyDescent="0.3">
      <c r="A11" s="129" t="s">
        <v>87</v>
      </c>
      <c r="B11" s="130"/>
      <c r="C11" s="130"/>
      <c r="D11" s="131"/>
      <c r="E11" s="19">
        <v>10</v>
      </c>
      <c r="F11" s="76">
        <v>4</v>
      </c>
      <c r="G11" s="76">
        <v>3</v>
      </c>
      <c r="H11" s="76">
        <v>0</v>
      </c>
      <c r="I11" s="132">
        <f>IF(F11="N/A",4,F11)+IF(G11="N/A",3,G11)+IF(H11="N/A",3,H11)</f>
        <v>7</v>
      </c>
      <c r="J11" s="1"/>
      <c r="K11" s="6"/>
      <c r="L11" s="6"/>
      <c r="M11" s="6"/>
    </row>
    <row r="12" spans="1:13" ht="18" x14ac:dyDescent="0.3">
      <c r="A12" s="134" t="s">
        <v>37</v>
      </c>
      <c r="B12" s="135"/>
      <c r="C12" s="135"/>
      <c r="D12" s="135"/>
      <c r="E12" s="136"/>
      <c r="F12" s="90"/>
      <c r="G12" s="90"/>
      <c r="H12" s="90" t="s">
        <v>88</v>
      </c>
      <c r="I12" s="133"/>
      <c r="J12" s="1"/>
      <c r="K12" s="6"/>
      <c r="L12" s="6"/>
      <c r="M12" s="6"/>
    </row>
    <row r="13" spans="1:13" ht="87" customHeight="1" x14ac:dyDescent="0.3">
      <c r="A13" s="129" t="s">
        <v>89</v>
      </c>
      <c r="B13" s="130"/>
      <c r="C13" s="130"/>
      <c r="D13" s="131"/>
      <c r="E13" s="19">
        <v>10</v>
      </c>
      <c r="F13" s="76">
        <v>0</v>
      </c>
      <c r="G13" s="76">
        <v>0</v>
      </c>
      <c r="H13" s="76">
        <v>0</v>
      </c>
      <c r="I13" s="132">
        <f>IF(F13="N/A",4,F13)+IF(G13="N/A",3,G13)+IF(H13="N/A",3,H13)</f>
        <v>0</v>
      </c>
      <c r="J13" s="1"/>
      <c r="K13" s="6"/>
      <c r="L13" s="6"/>
      <c r="M13" s="6"/>
    </row>
    <row r="14" spans="1:13" ht="179.4" x14ac:dyDescent="0.3">
      <c r="A14" s="134" t="s">
        <v>39</v>
      </c>
      <c r="B14" s="135"/>
      <c r="C14" s="135"/>
      <c r="D14" s="135"/>
      <c r="E14" s="136"/>
      <c r="F14" s="90" t="s">
        <v>90</v>
      </c>
      <c r="G14" s="90" t="s">
        <v>91</v>
      </c>
      <c r="H14" s="90" t="s">
        <v>92</v>
      </c>
      <c r="I14" s="133"/>
      <c r="J14" s="1"/>
      <c r="K14" s="6"/>
      <c r="L14" s="6"/>
      <c r="M14" s="6"/>
    </row>
    <row r="15" spans="1:13" ht="48.75" customHeight="1" x14ac:dyDescent="0.3">
      <c r="A15" s="129" t="s">
        <v>93</v>
      </c>
      <c r="B15" s="130"/>
      <c r="C15" s="130"/>
      <c r="D15" s="131"/>
      <c r="E15" s="19">
        <v>10</v>
      </c>
      <c r="F15" s="76">
        <v>4</v>
      </c>
      <c r="G15" s="76">
        <v>3</v>
      </c>
      <c r="H15" s="76">
        <v>3</v>
      </c>
      <c r="I15" s="132">
        <f>IF(F15="N/A",4,F15)+IF(G15="N/A",3,G15)+IF(H15="N/A",3,H15)</f>
        <v>10</v>
      </c>
      <c r="J15" s="1"/>
      <c r="K15" s="1"/>
      <c r="L15" s="2"/>
      <c r="M15" s="2"/>
    </row>
    <row r="16" spans="1:13" ht="41.4" x14ac:dyDescent="0.3">
      <c r="A16" s="134" t="s">
        <v>41</v>
      </c>
      <c r="B16" s="135"/>
      <c r="C16" s="135"/>
      <c r="D16" s="135"/>
      <c r="E16" s="136"/>
      <c r="F16" s="90" t="s">
        <v>94</v>
      </c>
      <c r="G16" s="90" t="s">
        <v>95</v>
      </c>
      <c r="H16" s="102" t="s">
        <v>95</v>
      </c>
      <c r="I16" s="133"/>
      <c r="J16" s="1"/>
      <c r="K16" s="1"/>
      <c r="L16" s="2"/>
      <c r="M16" s="2"/>
    </row>
    <row r="17" spans="1:13" ht="74.25" customHeight="1" x14ac:dyDescent="0.3">
      <c r="A17" s="129" t="s">
        <v>96</v>
      </c>
      <c r="B17" s="130"/>
      <c r="C17" s="130"/>
      <c r="D17" s="131"/>
      <c r="E17" s="19">
        <v>10</v>
      </c>
      <c r="F17" s="76">
        <v>0</v>
      </c>
      <c r="G17" s="76" t="s">
        <v>97</v>
      </c>
      <c r="H17" s="76" t="s">
        <v>97</v>
      </c>
      <c r="I17" s="132">
        <f>IF(F17="N/A",4,F17)+IF(G17="N/A",3,G17)+IF(H17="N/A",3,H17)</f>
        <v>6</v>
      </c>
      <c r="J17" s="1"/>
      <c r="K17" s="1"/>
      <c r="L17" s="2"/>
      <c r="M17" s="2"/>
    </row>
    <row r="18" spans="1:13" ht="179.4" x14ac:dyDescent="0.3">
      <c r="A18" s="134" t="s">
        <v>43</v>
      </c>
      <c r="B18" s="135"/>
      <c r="C18" s="135"/>
      <c r="D18" s="135"/>
      <c r="E18" s="136"/>
      <c r="F18" s="90" t="s">
        <v>98</v>
      </c>
      <c r="G18" s="90" t="s">
        <v>99</v>
      </c>
      <c r="H18" s="90" t="s">
        <v>100</v>
      </c>
      <c r="I18" s="133"/>
      <c r="J18" s="1"/>
      <c r="K18" s="1"/>
      <c r="L18" s="2"/>
      <c r="M18" s="2"/>
    </row>
    <row r="19" spans="1:13" ht="41.4" x14ac:dyDescent="0.3">
      <c r="A19" s="167" t="s">
        <v>101</v>
      </c>
      <c r="B19" s="167"/>
      <c r="C19" s="167"/>
      <c r="D19" s="168"/>
      <c r="E19" s="16" t="s">
        <v>31</v>
      </c>
      <c r="F19" s="166" t="s">
        <v>102</v>
      </c>
      <c r="G19" s="167"/>
      <c r="H19" s="168"/>
      <c r="I19" s="16" t="s">
        <v>33</v>
      </c>
      <c r="J19" s="20"/>
      <c r="K19" s="1"/>
      <c r="L19" s="2"/>
      <c r="M19" s="2"/>
    </row>
    <row r="20" spans="1:13" ht="60" customHeight="1" x14ac:dyDescent="0.3">
      <c r="A20" s="129" t="s">
        <v>103</v>
      </c>
      <c r="B20" s="130"/>
      <c r="C20" s="130"/>
      <c r="D20" s="131"/>
      <c r="E20" s="19">
        <v>10</v>
      </c>
      <c r="F20" s="123"/>
      <c r="G20" s="173"/>
      <c r="H20" s="124"/>
      <c r="I20" s="132">
        <f>IF(F20="N/A",10,F20)</f>
        <v>0</v>
      </c>
      <c r="J20" s="1"/>
      <c r="K20" s="1"/>
      <c r="L20" s="2"/>
      <c r="M20" s="2"/>
    </row>
    <row r="21" spans="1:13" x14ac:dyDescent="0.3">
      <c r="A21" s="134" t="s">
        <v>65</v>
      </c>
      <c r="B21" s="135"/>
      <c r="C21" s="135"/>
      <c r="D21" s="135"/>
      <c r="E21" s="136"/>
      <c r="F21" s="137"/>
      <c r="G21" s="138"/>
      <c r="H21" s="139"/>
      <c r="I21" s="133"/>
      <c r="J21" s="1"/>
      <c r="K21" s="1"/>
      <c r="L21" s="2"/>
      <c r="M21" s="2"/>
    </row>
    <row r="22" spans="1:13" ht="74.25" customHeight="1" x14ac:dyDescent="0.3">
      <c r="A22" s="130" t="s">
        <v>104</v>
      </c>
      <c r="B22" s="130"/>
      <c r="C22" s="130"/>
      <c r="D22" s="131"/>
      <c r="E22" s="11">
        <v>10</v>
      </c>
      <c r="F22" s="123"/>
      <c r="G22" s="173"/>
      <c r="H22" s="124"/>
      <c r="I22" s="132">
        <f>IF(F22="N/A",10,F22)</f>
        <v>0</v>
      </c>
      <c r="J22" s="1"/>
      <c r="K22" s="1"/>
      <c r="L22" s="2"/>
      <c r="M22" s="2"/>
    </row>
    <row r="23" spans="1:13" x14ac:dyDescent="0.3">
      <c r="A23" s="134" t="s">
        <v>105</v>
      </c>
      <c r="B23" s="135"/>
      <c r="C23" s="135"/>
      <c r="D23" s="135"/>
      <c r="E23" s="136"/>
      <c r="F23" s="137"/>
      <c r="G23" s="138"/>
      <c r="H23" s="139"/>
      <c r="I23" s="133"/>
      <c r="J23" s="1"/>
      <c r="K23" s="1"/>
      <c r="L23" s="2"/>
      <c r="M23" s="2"/>
    </row>
    <row r="24" spans="1:13" ht="63.75" customHeight="1" x14ac:dyDescent="0.3">
      <c r="A24" s="129" t="s">
        <v>106</v>
      </c>
      <c r="B24" s="130"/>
      <c r="C24" s="130"/>
      <c r="D24" s="131"/>
      <c r="E24" s="21">
        <v>10</v>
      </c>
      <c r="F24" s="123"/>
      <c r="G24" s="173"/>
      <c r="H24" s="124"/>
      <c r="I24" s="132">
        <f>IF(F24="N/A",10,F24)</f>
        <v>0</v>
      </c>
      <c r="J24" s="1"/>
      <c r="K24" s="1"/>
      <c r="L24" s="2"/>
      <c r="M24" s="2"/>
    </row>
    <row r="25" spans="1:13" x14ac:dyDescent="0.3">
      <c r="A25" s="134" t="s">
        <v>107</v>
      </c>
      <c r="B25" s="135"/>
      <c r="C25" s="135"/>
      <c r="D25" s="135"/>
      <c r="E25" s="136"/>
      <c r="F25" s="137"/>
      <c r="G25" s="138"/>
      <c r="H25" s="139"/>
      <c r="I25" s="133"/>
      <c r="J25" s="1"/>
      <c r="K25" s="1"/>
      <c r="L25" s="2"/>
      <c r="M25" s="2"/>
    </row>
    <row r="26" spans="1:13" ht="72" customHeight="1" x14ac:dyDescent="0.3">
      <c r="A26" s="130" t="s">
        <v>108</v>
      </c>
      <c r="B26" s="130"/>
      <c r="C26" s="130"/>
      <c r="D26" s="131"/>
      <c r="E26" s="11">
        <v>10</v>
      </c>
      <c r="F26" s="123"/>
      <c r="G26" s="173"/>
      <c r="H26" s="124"/>
      <c r="I26" s="132">
        <f>IF(F26="N/A",10,F26)</f>
        <v>0</v>
      </c>
      <c r="J26" s="1"/>
      <c r="K26" s="1"/>
      <c r="L26" s="2"/>
      <c r="M26" s="2"/>
    </row>
    <row r="27" spans="1:13" x14ac:dyDescent="0.3">
      <c r="A27" s="134" t="s">
        <v>109</v>
      </c>
      <c r="B27" s="135"/>
      <c r="C27" s="135"/>
      <c r="D27" s="135"/>
      <c r="E27" s="136"/>
      <c r="F27" s="137"/>
      <c r="G27" s="138"/>
      <c r="H27" s="139"/>
      <c r="I27" s="133"/>
      <c r="J27" s="1"/>
      <c r="K27" s="1"/>
      <c r="L27" s="2"/>
      <c r="M27" s="2"/>
    </row>
    <row r="28" spans="1:13" ht="72.75" customHeight="1" x14ac:dyDescent="0.3">
      <c r="A28" s="130" t="s">
        <v>110</v>
      </c>
      <c r="B28" s="130"/>
      <c r="C28" s="130"/>
      <c r="D28" s="131"/>
      <c r="E28" s="11">
        <v>10</v>
      </c>
      <c r="F28" s="123"/>
      <c r="G28" s="173"/>
      <c r="H28" s="124"/>
      <c r="I28" s="132">
        <f>IF(F28="N/A",10,F28)</f>
        <v>0</v>
      </c>
      <c r="J28" s="1"/>
      <c r="K28" s="1"/>
      <c r="L28" s="2"/>
      <c r="M28" s="2"/>
    </row>
    <row r="29" spans="1:13" x14ac:dyDescent="0.3">
      <c r="A29" s="134" t="s">
        <v>111</v>
      </c>
      <c r="B29" s="135"/>
      <c r="C29" s="135"/>
      <c r="D29" s="135"/>
      <c r="E29" s="136"/>
      <c r="F29" s="137"/>
      <c r="G29" s="138"/>
      <c r="H29" s="139"/>
      <c r="I29" s="133"/>
      <c r="J29" s="1"/>
      <c r="K29" s="1"/>
      <c r="L29" s="2"/>
      <c r="M29" s="2"/>
    </row>
    <row r="30" spans="1:13" ht="60.75" customHeight="1" x14ac:dyDescent="0.3">
      <c r="A30" s="130" t="s">
        <v>112</v>
      </c>
      <c r="B30" s="130"/>
      <c r="C30" s="130"/>
      <c r="D30" s="131"/>
      <c r="E30" s="11">
        <v>10</v>
      </c>
      <c r="F30" s="123" t="s">
        <v>97</v>
      </c>
      <c r="G30" s="173"/>
      <c r="H30" s="124"/>
      <c r="I30" s="132">
        <f>IF(F30="N/A",10,F30)</f>
        <v>10</v>
      </c>
      <c r="J30" s="1"/>
      <c r="K30" s="1"/>
      <c r="L30" s="2"/>
      <c r="M30" s="2"/>
    </row>
    <row r="31" spans="1:13" x14ac:dyDescent="0.3">
      <c r="A31" s="134" t="s">
        <v>113</v>
      </c>
      <c r="B31" s="135"/>
      <c r="C31" s="135"/>
      <c r="D31" s="135"/>
      <c r="E31" s="136"/>
      <c r="F31" s="137"/>
      <c r="G31" s="138"/>
      <c r="H31" s="139"/>
      <c r="I31" s="133"/>
      <c r="J31" s="1"/>
      <c r="K31" s="1"/>
      <c r="L31" s="2"/>
      <c r="M31" s="2"/>
    </row>
    <row r="32" spans="1:13" ht="57" customHeight="1" x14ac:dyDescent="0.3">
      <c r="A32" s="130" t="s">
        <v>114</v>
      </c>
      <c r="B32" s="130"/>
      <c r="C32" s="130"/>
      <c r="D32" s="131"/>
      <c r="E32" s="11">
        <v>10</v>
      </c>
      <c r="F32" s="123" t="s">
        <v>97</v>
      </c>
      <c r="G32" s="173"/>
      <c r="H32" s="124"/>
      <c r="I32" s="132">
        <f>IF(F32="N/A",10,F32)</f>
        <v>10</v>
      </c>
      <c r="J32" s="1"/>
      <c r="K32" s="1"/>
      <c r="L32" s="2"/>
      <c r="M32" s="2"/>
    </row>
    <row r="33" spans="1:13" x14ac:dyDescent="0.3">
      <c r="A33" s="134" t="s">
        <v>115</v>
      </c>
      <c r="B33" s="135"/>
      <c r="C33" s="135"/>
      <c r="D33" s="135"/>
      <c r="E33" s="136"/>
      <c r="F33" s="137"/>
      <c r="G33" s="138"/>
      <c r="H33" s="139"/>
      <c r="I33" s="133"/>
      <c r="J33" s="1"/>
      <c r="K33" s="1"/>
      <c r="L33" s="2"/>
      <c r="M33" s="2"/>
    </row>
    <row r="34" spans="1:13" ht="15.6" x14ac:dyDescent="0.3">
      <c r="A34" s="174" t="s">
        <v>116</v>
      </c>
      <c r="B34" s="175"/>
      <c r="C34" s="175"/>
      <c r="D34" s="176"/>
      <c r="E34" s="22">
        <f>E9+E11+E13+E15+E17+E20+E22+E24+E26+E28+E30+E32+E36</f>
        <v>130</v>
      </c>
      <c r="F34" s="2"/>
      <c r="G34" s="2"/>
      <c r="H34" s="23" t="s">
        <v>45</v>
      </c>
      <c r="I34" s="22">
        <f>SUM(I9:I18)+SUM(I20:I33)+I36</f>
        <v>63</v>
      </c>
      <c r="J34" s="1"/>
      <c r="K34" s="1"/>
      <c r="L34" s="2"/>
      <c r="M34" s="2"/>
    </row>
    <row r="35" spans="1:13" x14ac:dyDescent="0.3">
      <c r="A35" s="140" t="s">
        <v>46</v>
      </c>
      <c r="B35" s="140"/>
      <c r="C35" s="140"/>
      <c r="D35" s="140"/>
      <c r="E35" s="140"/>
      <c r="F35" s="140"/>
      <c r="G35" s="140"/>
      <c r="H35" s="140"/>
      <c r="I35" s="140"/>
      <c r="J35" s="1"/>
      <c r="K35" s="1"/>
      <c r="L35" s="2"/>
      <c r="M35" s="2"/>
    </row>
    <row r="36" spans="1:13" ht="73.5" customHeight="1" x14ac:dyDescent="0.3">
      <c r="A36" s="130" t="s">
        <v>117</v>
      </c>
      <c r="B36" s="130"/>
      <c r="C36" s="130"/>
      <c r="D36" s="131"/>
      <c r="E36" s="11">
        <v>10</v>
      </c>
      <c r="F36" s="123" t="s">
        <v>97</v>
      </c>
      <c r="G36" s="173"/>
      <c r="H36" s="124"/>
      <c r="I36" s="132">
        <f>IF(F36="N/A",10,F36)</f>
        <v>10</v>
      </c>
      <c r="J36" s="1"/>
      <c r="K36" s="1"/>
      <c r="L36" s="2"/>
      <c r="M36" s="2"/>
    </row>
    <row r="37" spans="1:13" x14ac:dyDescent="0.3">
      <c r="A37" s="134" t="s">
        <v>118</v>
      </c>
      <c r="B37" s="135"/>
      <c r="C37" s="135"/>
      <c r="D37" s="135"/>
      <c r="E37" s="136"/>
      <c r="F37" s="137"/>
      <c r="G37" s="138"/>
      <c r="H37" s="139"/>
      <c r="I37" s="133"/>
      <c r="J37" s="1"/>
      <c r="K37" s="1"/>
      <c r="L37" s="2"/>
      <c r="M37" s="2"/>
    </row>
    <row r="38" spans="1:13" x14ac:dyDescent="0.3">
      <c r="A38" s="140" t="s">
        <v>46</v>
      </c>
      <c r="B38" s="140"/>
      <c r="C38" s="140"/>
      <c r="D38" s="140"/>
      <c r="E38" s="140"/>
      <c r="F38" s="140"/>
      <c r="G38" s="140"/>
      <c r="H38" s="140"/>
      <c r="I38" s="140"/>
      <c r="J38" s="1"/>
      <c r="K38" s="1"/>
      <c r="L38" s="2"/>
      <c r="M38" s="2"/>
    </row>
    <row r="39" spans="1:13" ht="28.2" x14ac:dyDescent="0.35">
      <c r="A39" s="7"/>
      <c r="B39" s="7"/>
      <c r="C39" s="7"/>
      <c r="D39" s="24" t="s">
        <v>47</v>
      </c>
      <c r="E39" s="177"/>
      <c r="F39" s="178"/>
      <c r="G39" s="87"/>
      <c r="H39" s="87"/>
      <c r="I39" s="143" t="s">
        <v>48</v>
      </c>
      <c r="J39" s="1"/>
      <c r="K39" s="1"/>
      <c r="L39" s="2"/>
      <c r="M39" s="2"/>
    </row>
    <row r="40" spans="1:13" ht="18" x14ac:dyDescent="0.35">
      <c r="A40" s="7"/>
      <c r="B40" s="7"/>
      <c r="C40" s="7"/>
      <c r="D40" s="24" t="s">
        <v>49</v>
      </c>
      <c r="E40" s="123"/>
      <c r="F40" s="124"/>
      <c r="G40" s="76"/>
      <c r="H40" s="76"/>
      <c r="I40" s="144"/>
      <c r="J40" s="10"/>
      <c r="K40" s="2"/>
      <c r="L40" s="2"/>
      <c r="M40" s="2"/>
    </row>
    <row r="41" spans="1:13" ht="15.6" x14ac:dyDescent="0.3">
      <c r="A41" s="179" t="s">
        <v>50</v>
      </c>
      <c r="B41" s="180"/>
      <c r="C41" s="180"/>
      <c r="D41" s="181"/>
      <c r="E41" s="182" t="s">
        <v>51</v>
      </c>
      <c r="F41" s="183"/>
      <c r="G41" s="183"/>
      <c r="H41" s="184"/>
      <c r="I41" s="145"/>
      <c r="J41" s="2"/>
      <c r="K41" s="2"/>
      <c r="L41" s="2"/>
      <c r="M41" s="2"/>
    </row>
    <row r="42" spans="1:13" ht="24.6" customHeight="1" x14ac:dyDescent="0.3">
      <c r="A42" s="129" t="s">
        <v>119</v>
      </c>
      <c r="B42" s="130"/>
      <c r="C42" s="130"/>
      <c r="D42" s="131"/>
      <c r="E42" s="123"/>
      <c r="F42" s="124"/>
      <c r="G42" s="93"/>
      <c r="H42" s="92"/>
      <c r="I42" s="94"/>
      <c r="J42" s="2"/>
      <c r="K42" s="2"/>
      <c r="L42" s="2"/>
      <c r="M42" s="2"/>
    </row>
    <row r="43" spans="1:13" ht="24.6" customHeight="1" x14ac:dyDescent="0.3">
      <c r="A43" s="129" t="s">
        <v>120</v>
      </c>
      <c r="B43" s="130"/>
      <c r="C43" s="130"/>
      <c r="D43" s="131"/>
      <c r="E43" s="123"/>
      <c r="F43" s="124"/>
      <c r="G43" s="93"/>
      <c r="H43" s="92"/>
      <c r="I43" s="94"/>
      <c r="J43" s="2"/>
      <c r="K43" s="2"/>
      <c r="L43" s="2"/>
      <c r="M43" s="2"/>
    </row>
    <row r="44" spans="1:13" ht="57" customHeight="1" x14ac:dyDescent="0.3">
      <c r="A44" s="129" t="s">
        <v>121</v>
      </c>
      <c r="B44" s="130"/>
      <c r="C44" s="130"/>
      <c r="D44" s="131"/>
      <c r="E44" s="123"/>
      <c r="F44" s="124"/>
      <c r="G44" s="93"/>
      <c r="H44" s="92"/>
      <c r="I44" s="94"/>
      <c r="J44" s="2"/>
      <c r="K44" s="2"/>
      <c r="L44" s="2"/>
      <c r="M44" s="2"/>
    </row>
    <row r="45" spans="1:13" ht="24.6" customHeight="1" x14ac:dyDescent="0.3">
      <c r="A45" s="129" t="s">
        <v>122</v>
      </c>
      <c r="B45" s="130"/>
      <c r="C45" s="130"/>
      <c r="D45" s="131"/>
      <c r="E45" s="123"/>
      <c r="F45" s="124"/>
      <c r="G45" s="93"/>
      <c r="H45" s="93"/>
      <c r="I45" s="94"/>
      <c r="J45" s="2"/>
      <c r="K45" s="2"/>
      <c r="L45" s="2"/>
      <c r="M45" s="2"/>
    </row>
    <row r="46" spans="1:13" ht="24.6" customHeight="1" x14ac:dyDescent="0.3">
      <c r="A46" s="129" t="s">
        <v>123</v>
      </c>
      <c r="B46" s="130"/>
      <c r="C46" s="130"/>
      <c r="D46" s="131"/>
      <c r="E46" s="123"/>
      <c r="F46" s="124"/>
      <c r="G46" s="93"/>
      <c r="H46" s="93"/>
      <c r="I46" s="94"/>
      <c r="J46" s="2"/>
      <c r="K46" s="2"/>
      <c r="L46" s="2"/>
      <c r="M46" s="2"/>
    </row>
    <row r="47" spans="1:13" x14ac:dyDescent="0.3">
      <c r="A47" s="125"/>
      <c r="B47" s="125"/>
      <c r="C47" s="1"/>
      <c r="D47" s="1"/>
      <c r="E47" s="3"/>
      <c r="F47" s="1"/>
      <c r="G47" s="1"/>
      <c r="H47" s="1"/>
      <c r="I47" s="3"/>
      <c r="J47" s="2"/>
      <c r="K47" s="2"/>
      <c r="L47" s="2"/>
      <c r="M47" s="2"/>
    </row>
    <row r="48" spans="1:13" x14ac:dyDescent="0.3">
      <c r="A48" s="119"/>
      <c r="B48" s="119"/>
      <c r="C48" s="1"/>
      <c r="D48" s="1"/>
      <c r="E48" s="3"/>
      <c r="F48" s="1"/>
      <c r="G48" s="1"/>
      <c r="H48" s="1"/>
      <c r="I48" s="3"/>
      <c r="J48" s="2"/>
      <c r="K48" s="2"/>
      <c r="L48" s="2"/>
      <c r="M48" s="2"/>
    </row>
    <row r="49" spans="1:13" x14ac:dyDescent="0.3">
      <c r="A49" s="119"/>
      <c r="B49" s="119"/>
      <c r="C49" s="1"/>
      <c r="D49" s="1"/>
      <c r="E49" s="3"/>
      <c r="F49" s="1"/>
      <c r="G49" s="1"/>
      <c r="H49" s="1"/>
      <c r="I49" s="3"/>
      <c r="J49" s="2"/>
      <c r="K49" s="2"/>
      <c r="L49" s="2"/>
      <c r="M49" s="2"/>
    </row>
    <row r="50" spans="1:13" x14ac:dyDescent="0.3">
      <c r="A50" s="119"/>
      <c r="B50" s="119"/>
      <c r="C50" s="1"/>
      <c r="D50" s="1"/>
      <c r="E50" s="3"/>
      <c r="F50" s="1"/>
      <c r="G50" s="1"/>
      <c r="H50" s="1"/>
      <c r="I50" s="3"/>
      <c r="J50" s="2"/>
      <c r="K50" s="2"/>
      <c r="L50" s="2"/>
      <c r="M50" s="2"/>
    </row>
  </sheetData>
  <mergeCells count="84">
    <mergeCell ref="A13:D13"/>
    <mergeCell ref="I13:I14"/>
    <mergeCell ref="A14:E14"/>
    <mergeCell ref="B1:E1"/>
    <mergeCell ref="A2:B2"/>
    <mergeCell ref="A4:D7"/>
    <mergeCell ref="A8:D8"/>
    <mergeCell ref="F8:H8"/>
    <mergeCell ref="A9:D9"/>
    <mergeCell ref="I9:I10"/>
    <mergeCell ref="A10:E10"/>
    <mergeCell ref="A11:D11"/>
    <mergeCell ref="I11:I12"/>
    <mergeCell ref="A12:E12"/>
    <mergeCell ref="A15:D15"/>
    <mergeCell ref="I15:I16"/>
    <mergeCell ref="A16:E16"/>
    <mergeCell ref="A17:D17"/>
    <mergeCell ref="I17:I18"/>
    <mergeCell ref="A18:E18"/>
    <mergeCell ref="A19:D19"/>
    <mergeCell ref="F19:H19"/>
    <mergeCell ref="A22:D22"/>
    <mergeCell ref="F22:H22"/>
    <mergeCell ref="I22:I23"/>
    <mergeCell ref="A23:E23"/>
    <mergeCell ref="F23:H23"/>
    <mergeCell ref="A20:D20"/>
    <mergeCell ref="F20:H20"/>
    <mergeCell ref="I20:I21"/>
    <mergeCell ref="A21:E21"/>
    <mergeCell ref="F21:H21"/>
    <mergeCell ref="A24:D24"/>
    <mergeCell ref="F24:H24"/>
    <mergeCell ref="I24:I25"/>
    <mergeCell ref="A25:E25"/>
    <mergeCell ref="F25:H25"/>
    <mergeCell ref="A26:D26"/>
    <mergeCell ref="F26:H26"/>
    <mergeCell ref="I26:I27"/>
    <mergeCell ref="A27:E27"/>
    <mergeCell ref="F27:H27"/>
    <mergeCell ref="A28:D28"/>
    <mergeCell ref="F28:H28"/>
    <mergeCell ref="I28:I29"/>
    <mergeCell ref="A29:E29"/>
    <mergeCell ref="F29:H29"/>
    <mergeCell ref="A30:D30"/>
    <mergeCell ref="F30:H30"/>
    <mergeCell ref="I30:I31"/>
    <mergeCell ref="A31:E31"/>
    <mergeCell ref="F31:H31"/>
    <mergeCell ref="A34:D34"/>
    <mergeCell ref="E39:F39"/>
    <mergeCell ref="I39:I41"/>
    <mergeCell ref="E40:F40"/>
    <mergeCell ref="A41:D41"/>
    <mergeCell ref="E41:H41"/>
    <mergeCell ref="A35:I35"/>
    <mergeCell ref="A38:I38"/>
    <mergeCell ref="A36:D36"/>
    <mergeCell ref="F36:H36"/>
    <mergeCell ref="I36:I37"/>
    <mergeCell ref="A37:E37"/>
    <mergeCell ref="F37:H37"/>
    <mergeCell ref="A32:D32"/>
    <mergeCell ref="F32:H32"/>
    <mergeCell ref="I32:I33"/>
    <mergeCell ref="A33:E33"/>
    <mergeCell ref="F33:H33"/>
    <mergeCell ref="A49:B49"/>
    <mergeCell ref="A50:B50"/>
    <mergeCell ref="A45:D45"/>
    <mergeCell ref="E45:F45"/>
    <mergeCell ref="A46:D46"/>
    <mergeCell ref="E46:F46"/>
    <mergeCell ref="A47:B47"/>
    <mergeCell ref="A48:B48"/>
    <mergeCell ref="A42:D42"/>
    <mergeCell ref="E42:F42"/>
    <mergeCell ref="A43:D43"/>
    <mergeCell ref="E43:F43"/>
    <mergeCell ref="A44:D44"/>
    <mergeCell ref="E44:F44"/>
  </mergeCells>
  <pageMargins left="0.7" right="0.7" top="0.75" bottom="0.75" header="0.3" footer="0.3"/>
  <extLst>
    <ext xmlns:x14="http://schemas.microsoft.com/office/spreadsheetml/2009/9/main" uri="{CCE6A557-97BC-4b89-ADB6-D9C93CAAB3DF}">
      <x14:dataValidations xmlns:xm="http://schemas.microsoft.com/office/excel/2006/main" count="5">
        <x14:dataValidation type="list" allowBlank="1" showInputMessage="1" showErrorMessage="1" xr:uid="{BDDFD3A6-4327-47A6-B657-C0EDF5160678}">
          <x14:formula1>
            <xm:f>Data!$E$3:$E$5</xm:f>
          </x14:formula1>
          <xm:sqref>F9 F11 F13 F15 F17</xm:sqref>
        </x14:dataValidation>
        <x14:dataValidation type="list" allowBlank="1" showInputMessage="1" showErrorMessage="1" xr:uid="{F73C7FD9-164F-44E8-8957-F3C48AAC4149}">
          <x14:formula1>
            <xm:f>Data!$G$3:$G$5</xm:f>
          </x14:formula1>
          <xm:sqref>G9:H9 G11:H11 G13:H13 G15:H15 G17:H17</xm:sqref>
        </x14:dataValidation>
        <x14:dataValidation type="list" allowBlank="1" showInputMessage="1" showErrorMessage="1" xr:uid="{06FCB350-FF60-45E2-A3FB-A306851C62BD}">
          <x14:formula1>
            <xm:f>Data!$I$3:$I$5</xm:f>
          </x14:formula1>
          <xm:sqref>F20:H20 F22:H22 F24:H24 F26:H26 F28:H28 F30:H30 F32:H32 F36:H36</xm:sqref>
        </x14:dataValidation>
        <x14:dataValidation type="list" allowBlank="1" showInputMessage="1" showErrorMessage="1" xr:uid="{9EA1902A-0C0E-463E-821A-32A4930B4B91}">
          <x14:formula1>
            <xm:f>Data!$E$22:$E$29</xm:f>
          </x14:formula1>
          <xm:sqref>F5:H5</xm:sqref>
        </x14:dataValidation>
        <x14:dataValidation type="list" allowBlank="1" showInputMessage="1" showErrorMessage="1" xr:uid="{F35B231E-D577-4AB2-96AE-4F017242D5C2}">
          <x14:formula1>
            <xm:f>Data!$G$18:$G$23</xm:f>
          </x14:formula1>
          <xm:sqref>F6:H6</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D6F852-4C4B-49A3-97A3-8BAD19958800}">
  <sheetPr>
    <tabColor rgb="FFFFC000"/>
  </sheetPr>
  <dimension ref="A1:K61"/>
  <sheetViews>
    <sheetView workbookViewId="0">
      <selection activeCell="H7" sqref="H7"/>
    </sheetView>
  </sheetViews>
  <sheetFormatPr defaultRowHeight="14.4" x14ac:dyDescent="0.3"/>
  <cols>
    <col min="1" max="1" width="11.33203125" customWidth="1"/>
    <col min="2" max="2" width="11" customWidth="1"/>
    <col min="3" max="3" width="11.5546875" customWidth="1"/>
    <col min="4" max="4" width="13" customWidth="1"/>
    <col min="5" max="5" width="11.109375" customWidth="1"/>
    <col min="6" max="8" width="29.6640625" customWidth="1"/>
  </cols>
  <sheetData>
    <row r="1" spans="1:11" x14ac:dyDescent="0.3">
      <c r="A1" s="2" t="s">
        <v>21</v>
      </c>
      <c r="B1" s="172">
        <v>45932</v>
      </c>
      <c r="C1" s="155"/>
      <c r="D1" s="155"/>
      <c r="E1" s="155"/>
      <c r="F1" s="2"/>
      <c r="G1" s="4" t="s">
        <v>22</v>
      </c>
      <c r="H1" s="95" t="s">
        <v>72</v>
      </c>
      <c r="I1" s="2"/>
      <c r="J1" s="2"/>
      <c r="K1" s="2"/>
    </row>
    <row r="2" spans="1:11" x14ac:dyDescent="0.3">
      <c r="A2" s="156"/>
      <c r="B2" s="156"/>
      <c r="C2" s="2"/>
      <c r="D2" s="2"/>
      <c r="E2" s="5"/>
      <c r="F2" s="2"/>
      <c r="G2" s="2"/>
      <c r="H2" s="2"/>
      <c r="I2" s="2"/>
      <c r="J2" s="2"/>
      <c r="K2" s="2"/>
    </row>
    <row r="3" spans="1:11" ht="18" x14ac:dyDescent="0.35">
      <c r="A3" s="6"/>
      <c r="B3" s="6"/>
      <c r="C3" s="6"/>
      <c r="D3" s="6"/>
      <c r="E3" s="7"/>
      <c r="F3" s="7"/>
      <c r="G3" s="7"/>
      <c r="H3" s="7"/>
      <c r="I3" s="2"/>
      <c r="J3" s="2"/>
      <c r="K3" s="2"/>
    </row>
    <row r="4" spans="1:11" ht="27.6" x14ac:dyDescent="0.3">
      <c r="A4" s="157" t="s">
        <v>124</v>
      </c>
      <c r="B4" s="158"/>
      <c r="C4" s="158"/>
      <c r="D4" s="159"/>
      <c r="E4" s="8" t="s">
        <v>25</v>
      </c>
      <c r="F4" s="86" t="s">
        <v>125</v>
      </c>
      <c r="G4" s="87" t="s">
        <v>75</v>
      </c>
      <c r="H4" s="88" t="s">
        <v>76</v>
      </c>
      <c r="I4" s="2"/>
      <c r="J4" s="10"/>
      <c r="K4" s="2"/>
    </row>
    <row r="5" spans="1:11" ht="27.6" x14ac:dyDescent="0.3">
      <c r="A5" s="160"/>
      <c r="B5" s="161"/>
      <c r="C5" s="161"/>
      <c r="D5" s="162"/>
      <c r="E5" s="9" t="s">
        <v>26</v>
      </c>
      <c r="F5" s="94" t="s">
        <v>126</v>
      </c>
      <c r="G5" s="94" t="s">
        <v>126</v>
      </c>
      <c r="H5" s="94" t="s">
        <v>126</v>
      </c>
      <c r="I5" s="2"/>
      <c r="J5" s="10"/>
      <c r="K5" s="2"/>
    </row>
    <row r="6" spans="1:11" ht="27.6" x14ac:dyDescent="0.3">
      <c r="A6" s="160"/>
      <c r="B6" s="161"/>
      <c r="C6" s="161"/>
      <c r="D6" s="162"/>
      <c r="E6" s="14" t="s">
        <v>127</v>
      </c>
      <c r="F6" s="94" t="s">
        <v>128</v>
      </c>
      <c r="G6" s="94" t="s">
        <v>129</v>
      </c>
      <c r="H6" s="94" t="s">
        <v>129</v>
      </c>
      <c r="I6" s="65"/>
      <c r="J6" s="12"/>
      <c r="K6" s="12"/>
    </row>
    <row r="7" spans="1:11" ht="27.6" x14ac:dyDescent="0.3">
      <c r="A7" s="163"/>
      <c r="B7" s="164"/>
      <c r="C7" s="164"/>
      <c r="D7" s="165"/>
      <c r="E7" s="14" t="s">
        <v>79</v>
      </c>
      <c r="F7" s="89" t="s">
        <v>130</v>
      </c>
      <c r="G7" s="101" t="s">
        <v>131</v>
      </c>
      <c r="H7" s="101" t="s">
        <v>132</v>
      </c>
      <c r="I7" s="12"/>
      <c r="J7" s="12"/>
      <c r="K7" s="12"/>
    </row>
    <row r="8" spans="1:11" ht="84" customHeight="1" x14ac:dyDescent="0.3">
      <c r="A8" s="166" t="s">
        <v>30</v>
      </c>
      <c r="B8" s="167"/>
      <c r="C8" s="167"/>
      <c r="D8" s="168"/>
      <c r="E8" s="16" t="s">
        <v>31</v>
      </c>
      <c r="F8" s="166" t="s">
        <v>133</v>
      </c>
      <c r="G8" s="167"/>
      <c r="H8" s="168"/>
      <c r="I8" s="66" t="s">
        <v>33</v>
      </c>
      <c r="J8" s="18"/>
      <c r="K8" s="18"/>
    </row>
    <row r="9" spans="1:11" ht="99.75" customHeight="1" x14ac:dyDescent="0.3">
      <c r="A9" s="120" t="s">
        <v>134</v>
      </c>
      <c r="B9" s="121"/>
      <c r="C9" s="121"/>
      <c r="D9" s="122"/>
      <c r="E9" s="15">
        <v>10</v>
      </c>
      <c r="F9" s="76">
        <v>4</v>
      </c>
      <c r="G9" s="76">
        <v>3</v>
      </c>
      <c r="H9" s="76">
        <v>3</v>
      </c>
      <c r="I9" s="132">
        <f>IF(F9="N/A",4,F9)+IF(G9="N/A",3,G9)+IF(H9="N/A",3,H9)</f>
        <v>10</v>
      </c>
      <c r="J9" s="10"/>
      <c r="K9" s="6"/>
    </row>
    <row r="10" spans="1:11" ht="41.4" x14ac:dyDescent="0.3">
      <c r="A10" s="134" t="s">
        <v>35</v>
      </c>
      <c r="B10" s="135"/>
      <c r="C10" s="135"/>
      <c r="D10" s="135"/>
      <c r="E10" s="136"/>
      <c r="F10" s="99"/>
      <c r="G10" s="99"/>
      <c r="H10" s="99" t="s">
        <v>135</v>
      </c>
      <c r="I10" s="133"/>
      <c r="J10" s="6"/>
      <c r="K10" s="6"/>
    </row>
    <row r="11" spans="1:11" ht="87" customHeight="1" x14ac:dyDescent="0.3">
      <c r="A11" s="120" t="s">
        <v>136</v>
      </c>
      <c r="B11" s="121"/>
      <c r="C11" s="121"/>
      <c r="D11" s="122"/>
      <c r="E11" s="19">
        <v>10</v>
      </c>
      <c r="F11" s="76">
        <v>4</v>
      </c>
      <c r="G11" s="76">
        <v>3</v>
      </c>
      <c r="H11" s="76">
        <v>3</v>
      </c>
      <c r="I11" s="132">
        <f>IF(F11="N/A",4,F11)+IF(G11="N/A",3,G11)+IF(H11="N/A",3,H11)</f>
        <v>10</v>
      </c>
      <c r="J11" s="6"/>
      <c r="K11" s="6"/>
    </row>
    <row r="12" spans="1:11" ht="41.4" x14ac:dyDescent="0.3">
      <c r="A12" s="134" t="s">
        <v>37</v>
      </c>
      <c r="B12" s="135"/>
      <c r="C12" s="135"/>
      <c r="D12" s="135"/>
      <c r="E12" s="136"/>
      <c r="F12" s="99"/>
      <c r="G12" s="99"/>
      <c r="H12" s="99" t="s">
        <v>137</v>
      </c>
      <c r="I12" s="133"/>
      <c r="J12" s="6"/>
      <c r="K12" s="6"/>
    </row>
    <row r="13" spans="1:11" ht="56.25" customHeight="1" x14ac:dyDescent="0.3">
      <c r="A13" s="129" t="s">
        <v>138</v>
      </c>
      <c r="B13" s="130"/>
      <c r="C13" s="130"/>
      <c r="D13" s="131"/>
      <c r="E13" s="19">
        <v>10</v>
      </c>
      <c r="F13" s="76">
        <v>0</v>
      </c>
      <c r="G13" s="76">
        <v>3</v>
      </c>
      <c r="H13" s="76">
        <v>3</v>
      </c>
      <c r="I13" s="132">
        <f>IF(F13="N/A",4,F13)+IF(G13="N/A",3,G13)+IF(H13="N/A",3,H13)</f>
        <v>6</v>
      </c>
      <c r="J13" s="6"/>
      <c r="K13" s="6"/>
    </row>
    <row r="14" spans="1:11" ht="27.6" x14ac:dyDescent="0.3">
      <c r="A14" s="134" t="s">
        <v>39</v>
      </c>
      <c r="B14" s="135"/>
      <c r="C14" s="135"/>
      <c r="D14" s="135"/>
      <c r="E14" s="136"/>
      <c r="F14" s="99" t="s">
        <v>139</v>
      </c>
      <c r="G14" s="99"/>
      <c r="H14" s="99"/>
      <c r="I14" s="133"/>
      <c r="J14" s="6"/>
      <c r="K14" s="6"/>
    </row>
    <row r="15" spans="1:11" ht="78" customHeight="1" x14ac:dyDescent="0.3">
      <c r="A15" s="129" t="s">
        <v>140</v>
      </c>
      <c r="B15" s="130"/>
      <c r="C15" s="130"/>
      <c r="D15" s="131"/>
      <c r="E15" s="19">
        <v>10</v>
      </c>
      <c r="F15" s="76">
        <v>4</v>
      </c>
      <c r="G15" s="76">
        <v>3</v>
      </c>
      <c r="H15" s="76" t="s">
        <v>97</v>
      </c>
      <c r="I15" s="132">
        <f>IF(F15="N/A",4,F15)+IF(G15="N/A",3,G15)+IF(H15="N/A",3,H15)</f>
        <v>10</v>
      </c>
      <c r="J15" s="2"/>
      <c r="K15" s="2"/>
    </row>
    <row r="16" spans="1:11" ht="138" x14ac:dyDescent="0.3">
      <c r="A16" s="134" t="s">
        <v>41</v>
      </c>
      <c r="B16" s="135"/>
      <c r="C16" s="135"/>
      <c r="D16" s="135"/>
      <c r="E16" s="136"/>
      <c r="F16" s="99" t="s">
        <v>141</v>
      </c>
      <c r="G16" s="99" t="s">
        <v>142</v>
      </c>
      <c r="H16" s="99" t="s">
        <v>143</v>
      </c>
      <c r="I16" s="133"/>
      <c r="J16" s="2"/>
      <c r="K16" s="2"/>
    </row>
    <row r="17" spans="1:11" ht="75" customHeight="1" x14ac:dyDescent="0.3">
      <c r="A17" s="129" t="s">
        <v>144</v>
      </c>
      <c r="B17" s="130"/>
      <c r="C17" s="130"/>
      <c r="D17" s="131"/>
      <c r="E17" s="19">
        <v>10</v>
      </c>
      <c r="F17" s="76">
        <v>4</v>
      </c>
      <c r="G17" s="76">
        <v>3</v>
      </c>
      <c r="H17" s="76">
        <v>0</v>
      </c>
      <c r="I17" s="132">
        <f>IF(F17="N/A",4,F17)+IF(G17="N/A",3,G17)+IF(H17="N/A",3,H17)</f>
        <v>7</v>
      </c>
      <c r="J17" s="2"/>
      <c r="K17" s="2"/>
    </row>
    <row r="18" spans="1:11" ht="69" x14ac:dyDescent="0.3">
      <c r="A18" s="134" t="s">
        <v>43</v>
      </c>
      <c r="B18" s="135"/>
      <c r="C18" s="135"/>
      <c r="D18" s="135"/>
      <c r="E18" s="136"/>
      <c r="F18" s="99"/>
      <c r="G18" s="99"/>
      <c r="H18" s="99" t="s">
        <v>145</v>
      </c>
      <c r="I18" s="133"/>
      <c r="J18" s="2"/>
      <c r="K18" s="2"/>
    </row>
    <row r="19" spans="1:11" ht="73.5" customHeight="1" x14ac:dyDescent="0.3">
      <c r="A19" s="129" t="s">
        <v>146</v>
      </c>
      <c r="B19" s="130"/>
      <c r="C19" s="130"/>
      <c r="D19" s="131"/>
      <c r="E19" s="19">
        <v>10</v>
      </c>
      <c r="F19" s="76">
        <v>0</v>
      </c>
      <c r="G19" s="76">
        <v>0</v>
      </c>
      <c r="H19" s="76">
        <v>3</v>
      </c>
      <c r="I19" s="132">
        <f>IF(F19="N/A",4,F19)+IF(G19="N/A",3,G19)+IF(H19="N/A",3,H19)</f>
        <v>3</v>
      </c>
      <c r="J19" s="2"/>
      <c r="K19" s="2"/>
    </row>
    <row r="20" spans="1:11" ht="110.4" x14ac:dyDescent="0.3">
      <c r="A20" s="134" t="s">
        <v>65</v>
      </c>
      <c r="B20" s="135"/>
      <c r="C20" s="135"/>
      <c r="D20" s="135"/>
      <c r="E20" s="136"/>
      <c r="F20" s="99" t="s">
        <v>147</v>
      </c>
      <c r="G20" s="99" t="s">
        <v>148</v>
      </c>
      <c r="H20" s="99"/>
      <c r="I20" s="133"/>
      <c r="J20" s="2"/>
      <c r="K20" s="2"/>
    </row>
    <row r="21" spans="1:11" ht="56.25" customHeight="1" x14ac:dyDescent="0.3">
      <c r="A21" s="129" t="s">
        <v>149</v>
      </c>
      <c r="B21" s="130"/>
      <c r="C21" s="130"/>
      <c r="D21" s="131"/>
      <c r="E21" s="19">
        <v>10</v>
      </c>
      <c r="F21" s="76">
        <v>0</v>
      </c>
      <c r="G21" s="76">
        <v>3</v>
      </c>
      <c r="H21" s="76">
        <v>3</v>
      </c>
      <c r="I21" s="132">
        <f>IF(F21="N/A",4,F21)+IF(G21="N/A",3,G21)+IF(H21="N/A",3,H21)</f>
        <v>6</v>
      </c>
      <c r="J21" s="2"/>
      <c r="K21" s="2"/>
    </row>
    <row r="22" spans="1:11" ht="55.2" x14ac:dyDescent="0.3">
      <c r="A22" s="134" t="s">
        <v>105</v>
      </c>
      <c r="B22" s="135"/>
      <c r="C22" s="135"/>
      <c r="D22" s="135"/>
      <c r="E22" s="136"/>
      <c r="F22" s="99" t="s">
        <v>150</v>
      </c>
      <c r="G22" s="99"/>
      <c r="H22" s="99"/>
      <c r="I22" s="133"/>
      <c r="J22" s="2"/>
      <c r="K22" s="2"/>
    </row>
    <row r="23" spans="1:11" ht="72.75" customHeight="1" x14ac:dyDescent="0.3">
      <c r="A23" s="129" t="s">
        <v>151</v>
      </c>
      <c r="B23" s="130"/>
      <c r="C23" s="130"/>
      <c r="D23" s="131"/>
      <c r="E23" s="15">
        <v>10</v>
      </c>
      <c r="F23" s="76">
        <v>4</v>
      </c>
      <c r="G23" s="76">
        <v>0</v>
      </c>
      <c r="H23" s="76">
        <v>0</v>
      </c>
      <c r="I23" s="132">
        <f>IF(F23="N/A",4,F23)+IF(G23="N/A",3,G23)+IF(H23="N/A",3,H23)</f>
        <v>4</v>
      </c>
      <c r="J23" s="2"/>
      <c r="K23" s="2"/>
    </row>
    <row r="24" spans="1:11" ht="124.2" x14ac:dyDescent="0.3">
      <c r="A24" s="134" t="s">
        <v>107</v>
      </c>
      <c r="B24" s="135"/>
      <c r="C24" s="135"/>
      <c r="D24" s="135"/>
      <c r="E24" s="136"/>
      <c r="F24" s="99" t="s">
        <v>152</v>
      </c>
      <c r="G24" s="99" t="s">
        <v>153</v>
      </c>
      <c r="H24" s="99" t="s">
        <v>154</v>
      </c>
      <c r="I24" s="133"/>
      <c r="J24" s="2"/>
      <c r="K24" s="2"/>
    </row>
    <row r="25" spans="1:11" ht="36" customHeight="1" x14ac:dyDescent="0.3">
      <c r="A25" s="129" t="s">
        <v>155</v>
      </c>
      <c r="B25" s="130"/>
      <c r="C25" s="130"/>
      <c r="D25" s="131"/>
      <c r="E25" s="15">
        <v>10</v>
      </c>
      <c r="F25" s="76">
        <v>4</v>
      </c>
      <c r="G25" s="76">
        <v>3</v>
      </c>
      <c r="H25" s="76">
        <v>3</v>
      </c>
      <c r="I25" s="132">
        <f>IF(F25="N/A",4,F25)+IF(G25="N/A",3,G25)+IF(H25="N/A",3,H25)</f>
        <v>10</v>
      </c>
      <c r="J25" s="2"/>
      <c r="K25" s="2"/>
    </row>
    <row r="26" spans="1:11" x14ac:dyDescent="0.3">
      <c r="A26" s="134" t="s">
        <v>109</v>
      </c>
      <c r="B26" s="135"/>
      <c r="C26" s="135"/>
      <c r="D26" s="135"/>
      <c r="E26" s="136"/>
      <c r="F26" s="99"/>
      <c r="G26" s="99"/>
      <c r="H26" s="99" t="s">
        <v>156</v>
      </c>
      <c r="I26" s="133"/>
      <c r="J26" s="2"/>
      <c r="K26" s="2"/>
    </row>
    <row r="27" spans="1:11" ht="30" customHeight="1" x14ac:dyDescent="0.3">
      <c r="A27" s="129" t="s">
        <v>157</v>
      </c>
      <c r="B27" s="130"/>
      <c r="C27" s="130"/>
      <c r="D27" s="131"/>
      <c r="E27" s="15">
        <v>10</v>
      </c>
      <c r="F27" s="76">
        <v>4</v>
      </c>
      <c r="G27" s="76">
        <v>3</v>
      </c>
      <c r="H27" s="76">
        <v>3</v>
      </c>
      <c r="I27" s="132">
        <f>IF(F27="N/A",4,F27)+IF(G27="N/A",3,G27)+IF(H27="N/A",3,H27)</f>
        <v>10</v>
      </c>
      <c r="J27" s="2"/>
      <c r="K27" s="2"/>
    </row>
    <row r="28" spans="1:11" x14ac:dyDescent="0.3">
      <c r="A28" s="134" t="s">
        <v>156</v>
      </c>
      <c r="B28" s="135"/>
      <c r="C28" s="135"/>
      <c r="D28" s="135"/>
      <c r="E28" s="136"/>
      <c r="F28" s="99"/>
      <c r="G28" s="99"/>
      <c r="H28" s="99" t="s">
        <v>156</v>
      </c>
      <c r="I28" s="133"/>
      <c r="J28" s="2"/>
      <c r="K28" s="2"/>
    </row>
    <row r="29" spans="1:11" ht="39.75" customHeight="1" x14ac:dyDescent="0.3">
      <c r="A29" s="129" t="s">
        <v>158</v>
      </c>
      <c r="B29" s="130"/>
      <c r="C29" s="130"/>
      <c r="D29" s="131"/>
      <c r="E29" s="63">
        <v>10</v>
      </c>
      <c r="F29" s="76">
        <v>4</v>
      </c>
      <c r="G29" s="76">
        <v>0</v>
      </c>
      <c r="H29" s="76">
        <v>0</v>
      </c>
      <c r="I29" s="132">
        <f>IF(F29="N/A",4,F29)+IF(G29="N/A",3,G29)+IF(H29="N/A",3,H29)</f>
        <v>4</v>
      </c>
      <c r="J29" s="2"/>
      <c r="K29" s="2"/>
    </row>
    <row r="30" spans="1:11" ht="55.2" x14ac:dyDescent="0.3">
      <c r="A30" s="134" t="s">
        <v>113</v>
      </c>
      <c r="B30" s="135"/>
      <c r="C30" s="135"/>
      <c r="D30" s="135"/>
      <c r="E30" s="136"/>
      <c r="F30" s="99"/>
      <c r="G30" s="99" t="s">
        <v>159</v>
      </c>
      <c r="H30" s="99" t="s">
        <v>160</v>
      </c>
      <c r="I30" s="133"/>
      <c r="J30" s="2"/>
      <c r="K30" s="2"/>
    </row>
    <row r="31" spans="1:11" ht="105.75" customHeight="1" x14ac:dyDescent="0.3">
      <c r="A31" s="129" t="s">
        <v>161</v>
      </c>
      <c r="B31" s="130"/>
      <c r="C31" s="130"/>
      <c r="D31" s="131"/>
      <c r="E31" s="15">
        <v>10</v>
      </c>
      <c r="F31" s="76">
        <v>4</v>
      </c>
      <c r="G31" s="76">
        <v>0</v>
      </c>
      <c r="H31" s="76">
        <v>0</v>
      </c>
      <c r="I31" s="132">
        <f>IF(F31="N/A",4,F31)+IF(G31="N/A",3,G31)+IF(H31="N/A",3,H31)</f>
        <v>4</v>
      </c>
      <c r="J31" s="2"/>
      <c r="K31" s="2"/>
    </row>
    <row r="32" spans="1:11" ht="110.4" x14ac:dyDescent="0.3">
      <c r="A32" s="134" t="s">
        <v>115</v>
      </c>
      <c r="B32" s="135"/>
      <c r="C32" s="135"/>
      <c r="D32" s="135"/>
      <c r="E32" s="136"/>
      <c r="F32" s="99" t="s">
        <v>162</v>
      </c>
      <c r="G32" s="99" t="s">
        <v>163</v>
      </c>
      <c r="H32" s="99" t="s">
        <v>164</v>
      </c>
      <c r="I32" s="133"/>
      <c r="J32" s="2"/>
      <c r="K32" s="2"/>
    </row>
    <row r="33" spans="1:11" ht="81.75" customHeight="1" x14ac:dyDescent="0.3">
      <c r="A33" s="129" t="s">
        <v>165</v>
      </c>
      <c r="B33" s="130"/>
      <c r="C33" s="130"/>
      <c r="D33" s="131"/>
      <c r="E33" s="15">
        <v>10</v>
      </c>
      <c r="F33" s="76">
        <v>4</v>
      </c>
      <c r="G33" s="76">
        <v>0</v>
      </c>
      <c r="H33" s="76" t="s">
        <v>97</v>
      </c>
      <c r="I33" s="132">
        <f>IF(F33="N/A",4,F33)+IF(G33="N/A",3,G33)+IF(H33="N/A",3,H33)</f>
        <v>7</v>
      </c>
      <c r="J33" s="2"/>
      <c r="K33" s="2"/>
    </row>
    <row r="34" spans="1:11" ht="27.6" x14ac:dyDescent="0.3">
      <c r="A34" s="134" t="s">
        <v>118</v>
      </c>
      <c r="B34" s="135"/>
      <c r="C34" s="135"/>
      <c r="D34" s="135"/>
      <c r="E34" s="136"/>
      <c r="F34" s="99" t="s">
        <v>166</v>
      </c>
      <c r="G34" s="99" t="s">
        <v>167</v>
      </c>
      <c r="H34" s="99" t="s">
        <v>168</v>
      </c>
      <c r="I34" s="133"/>
      <c r="J34" s="2"/>
      <c r="K34" s="2"/>
    </row>
    <row r="35" spans="1:11" x14ac:dyDescent="0.3">
      <c r="A35" s="126" t="s">
        <v>169</v>
      </c>
      <c r="B35" s="127"/>
      <c r="C35" s="127"/>
      <c r="D35" s="128"/>
      <c r="E35" s="68">
        <f>E9+E11+E13+E15+E17+E19+E21+E23+E25+E27+E29+E31+E33+E38+E40+E42+E44</f>
        <v>170</v>
      </c>
      <c r="F35" s="2"/>
      <c r="G35" s="2"/>
      <c r="H35" s="69" t="s">
        <v>45</v>
      </c>
      <c r="I35" s="68">
        <f>SUM(I9:I34)+SUM(I38:I45)</f>
        <v>131</v>
      </c>
      <c r="J35" s="2"/>
      <c r="K35" s="2"/>
    </row>
    <row r="36" spans="1:11" x14ac:dyDescent="0.3">
      <c r="A36" s="140" t="s">
        <v>46</v>
      </c>
      <c r="B36" s="140"/>
      <c r="C36" s="140"/>
      <c r="D36" s="140"/>
      <c r="E36" s="140"/>
      <c r="F36" s="140"/>
      <c r="G36" s="140"/>
      <c r="H36" s="140"/>
      <c r="I36" s="140"/>
      <c r="J36" s="2"/>
      <c r="K36" s="2"/>
    </row>
    <row r="37" spans="1:11" ht="41.4" x14ac:dyDescent="0.3">
      <c r="A37" s="167" t="s">
        <v>170</v>
      </c>
      <c r="B37" s="167"/>
      <c r="C37" s="167"/>
      <c r="D37" s="168"/>
      <c r="E37" s="16" t="s">
        <v>31</v>
      </c>
      <c r="F37" s="182" t="s">
        <v>171</v>
      </c>
      <c r="G37" s="183"/>
      <c r="H37" s="184"/>
      <c r="I37" s="67" t="s">
        <v>33</v>
      </c>
      <c r="J37" s="2"/>
      <c r="K37" s="2"/>
    </row>
    <row r="38" spans="1:11" ht="112.5" customHeight="1" x14ac:dyDescent="0.3">
      <c r="A38" s="130" t="s">
        <v>172</v>
      </c>
      <c r="B38" s="130"/>
      <c r="C38" s="130"/>
      <c r="D38" s="131"/>
      <c r="E38" s="11">
        <v>10</v>
      </c>
      <c r="F38" s="123" t="s">
        <v>97</v>
      </c>
      <c r="G38" s="173"/>
      <c r="H38" s="124"/>
      <c r="I38" s="132">
        <f>IF(F38="N/A",10,F38)</f>
        <v>10</v>
      </c>
      <c r="J38" s="2"/>
      <c r="K38" s="2"/>
    </row>
    <row r="39" spans="1:11" x14ac:dyDescent="0.3">
      <c r="A39" s="134" t="s">
        <v>173</v>
      </c>
      <c r="B39" s="135"/>
      <c r="C39" s="135"/>
      <c r="D39" s="135"/>
      <c r="E39" s="136"/>
      <c r="F39" s="137"/>
      <c r="G39" s="138"/>
      <c r="H39" s="139"/>
      <c r="I39" s="133"/>
      <c r="J39" s="2"/>
      <c r="K39" s="2"/>
    </row>
    <row r="40" spans="1:11" ht="89.25" customHeight="1" x14ac:dyDescent="0.3">
      <c r="A40" s="130" t="s">
        <v>174</v>
      </c>
      <c r="B40" s="130"/>
      <c r="C40" s="130"/>
      <c r="D40" s="131"/>
      <c r="E40" s="11">
        <v>10</v>
      </c>
      <c r="F40" s="123" t="s">
        <v>97</v>
      </c>
      <c r="G40" s="173"/>
      <c r="H40" s="124"/>
      <c r="I40" s="132">
        <f>IF(F40="N/A",10,F40)</f>
        <v>10</v>
      </c>
      <c r="J40" s="2"/>
      <c r="K40" s="2"/>
    </row>
    <row r="41" spans="1:11" x14ac:dyDescent="0.3">
      <c r="A41" s="134" t="s">
        <v>173</v>
      </c>
      <c r="B41" s="135"/>
      <c r="C41" s="135"/>
      <c r="D41" s="135"/>
      <c r="E41" s="136"/>
      <c r="F41" s="137"/>
      <c r="G41" s="138"/>
      <c r="H41" s="139"/>
      <c r="I41" s="133"/>
      <c r="J41" s="2"/>
      <c r="K41" s="2"/>
    </row>
    <row r="42" spans="1:11" ht="49.5" customHeight="1" x14ac:dyDescent="0.3">
      <c r="A42" s="130" t="s">
        <v>175</v>
      </c>
      <c r="B42" s="130"/>
      <c r="C42" s="130"/>
      <c r="D42" s="131"/>
      <c r="E42" s="11">
        <v>10</v>
      </c>
      <c r="F42" s="123" t="s">
        <v>97</v>
      </c>
      <c r="G42" s="173"/>
      <c r="H42" s="124"/>
      <c r="I42" s="132">
        <f>IF(F42="N/A",10,F42)</f>
        <v>10</v>
      </c>
      <c r="J42" s="2"/>
      <c r="K42" s="2"/>
    </row>
    <row r="43" spans="1:11" x14ac:dyDescent="0.3">
      <c r="A43" s="134" t="s">
        <v>173</v>
      </c>
      <c r="B43" s="135"/>
      <c r="C43" s="135"/>
      <c r="D43" s="135"/>
      <c r="E43" s="136"/>
      <c r="F43" s="137"/>
      <c r="G43" s="138"/>
      <c r="H43" s="139"/>
      <c r="I43" s="133"/>
      <c r="J43" s="2"/>
      <c r="K43" s="2"/>
    </row>
    <row r="44" spans="1:11" ht="98.25" customHeight="1" x14ac:dyDescent="0.3">
      <c r="A44" s="129" t="s">
        <v>176</v>
      </c>
      <c r="B44" s="130"/>
      <c r="C44" s="130"/>
      <c r="D44" s="131"/>
      <c r="E44" s="21">
        <v>10</v>
      </c>
      <c r="F44" s="123" t="s">
        <v>97</v>
      </c>
      <c r="G44" s="173"/>
      <c r="H44" s="124"/>
      <c r="I44" s="132">
        <f>IF(F44="N/A",10,F44)</f>
        <v>10</v>
      </c>
      <c r="J44" s="2"/>
      <c r="K44" s="2"/>
    </row>
    <row r="45" spans="1:11" x14ac:dyDescent="0.3">
      <c r="A45" s="134" t="s">
        <v>173</v>
      </c>
      <c r="B45" s="135"/>
      <c r="C45" s="135"/>
      <c r="D45" s="135"/>
      <c r="E45" s="136"/>
      <c r="F45" s="137"/>
      <c r="G45" s="138"/>
      <c r="H45" s="139"/>
      <c r="I45" s="133"/>
      <c r="J45" s="2"/>
      <c r="K45" s="2"/>
    </row>
    <row r="46" spans="1:11" x14ac:dyDescent="0.3">
      <c r="J46" s="2"/>
      <c r="K46" s="2"/>
    </row>
    <row r="47" spans="1:11" x14ac:dyDescent="0.3">
      <c r="A47" s="140" t="s">
        <v>46</v>
      </c>
      <c r="B47" s="140"/>
      <c r="C47" s="140"/>
      <c r="D47" s="140"/>
      <c r="E47" s="140"/>
      <c r="F47" s="140"/>
      <c r="G47" s="140"/>
      <c r="H47" s="140"/>
      <c r="I47" s="140"/>
      <c r="J47" s="10"/>
      <c r="K47" s="2"/>
    </row>
    <row r="48" spans="1:11" ht="28.2" x14ac:dyDescent="0.35">
      <c r="A48" s="7"/>
      <c r="B48" s="7"/>
      <c r="C48" s="7"/>
      <c r="D48" s="24" t="s">
        <v>47</v>
      </c>
      <c r="E48" s="177"/>
      <c r="F48" s="178"/>
      <c r="G48" s="87"/>
      <c r="H48" s="87"/>
      <c r="I48" s="187" t="s">
        <v>48</v>
      </c>
      <c r="J48" s="2"/>
      <c r="K48" s="2"/>
    </row>
    <row r="49" spans="1:11" ht="18" x14ac:dyDescent="0.35">
      <c r="A49" s="7"/>
      <c r="B49" s="7"/>
      <c r="C49" s="7"/>
      <c r="D49" s="24" t="s">
        <v>49</v>
      </c>
      <c r="E49" s="123"/>
      <c r="F49" s="124"/>
      <c r="G49" s="76"/>
      <c r="H49" s="76"/>
      <c r="I49" s="188"/>
      <c r="J49" s="2"/>
      <c r="K49" s="2"/>
    </row>
    <row r="50" spans="1:11" ht="15.6" x14ac:dyDescent="0.3">
      <c r="A50" s="179" t="s">
        <v>50</v>
      </c>
      <c r="B50" s="180"/>
      <c r="C50" s="180"/>
      <c r="D50" s="181"/>
      <c r="E50" s="182" t="s">
        <v>51</v>
      </c>
      <c r="F50" s="183"/>
      <c r="G50" s="183"/>
      <c r="H50" s="184"/>
      <c r="I50" s="189"/>
      <c r="J50" s="2"/>
      <c r="K50" s="2"/>
    </row>
    <row r="51" spans="1:11" ht="24.6" customHeight="1" x14ac:dyDescent="0.3">
      <c r="A51" s="129" t="s">
        <v>177</v>
      </c>
      <c r="B51" s="130"/>
      <c r="C51" s="130"/>
      <c r="D51" s="131"/>
      <c r="E51" s="123"/>
      <c r="F51" s="124"/>
      <c r="G51" s="93"/>
      <c r="H51" s="92"/>
      <c r="I51" s="100"/>
      <c r="J51" s="2"/>
      <c r="K51" s="2"/>
    </row>
    <row r="52" spans="1:11" ht="24.6" customHeight="1" x14ac:dyDescent="0.3">
      <c r="A52" s="129" t="s">
        <v>178</v>
      </c>
      <c r="B52" s="130"/>
      <c r="C52" s="130"/>
      <c r="D52" s="131"/>
      <c r="E52" s="123"/>
      <c r="F52" s="124"/>
      <c r="G52" s="93"/>
      <c r="H52" s="92"/>
      <c r="I52" s="100"/>
      <c r="J52" s="2"/>
      <c r="K52" s="2"/>
    </row>
    <row r="53" spans="1:11" ht="24.6" customHeight="1" x14ac:dyDescent="0.3">
      <c r="A53" s="129" t="s">
        <v>179</v>
      </c>
      <c r="B53" s="130"/>
      <c r="C53" s="130"/>
      <c r="D53" s="131"/>
      <c r="E53" s="123"/>
      <c r="F53" s="124"/>
      <c r="G53" s="93"/>
      <c r="H53" s="92"/>
      <c r="I53" s="100"/>
      <c r="J53" s="2"/>
      <c r="K53" s="2"/>
    </row>
    <row r="54" spans="1:11" ht="24.6" customHeight="1" x14ac:dyDescent="0.3">
      <c r="A54" s="129" t="s">
        <v>180</v>
      </c>
      <c r="B54" s="130"/>
      <c r="C54" s="130"/>
      <c r="D54" s="131"/>
      <c r="E54" s="123"/>
      <c r="F54" s="124"/>
      <c r="G54" s="93"/>
      <c r="H54" s="93"/>
      <c r="I54" s="100"/>
      <c r="J54" s="2"/>
      <c r="K54" s="2"/>
    </row>
    <row r="55" spans="1:11" x14ac:dyDescent="0.3">
      <c r="A55" s="129" t="s">
        <v>181</v>
      </c>
      <c r="B55" s="130"/>
      <c r="C55" s="130"/>
      <c r="D55" s="131"/>
      <c r="E55" s="123"/>
      <c r="F55" s="124"/>
      <c r="G55" s="93"/>
      <c r="H55" s="93"/>
      <c r="I55" s="100"/>
      <c r="J55" s="2"/>
      <c r="K55" s="2"/>
    </row>
    <row r="56" spans="1:11" x14ac:dyDescent="0.3">
      <c r="A56" s="129" t="s">
        <v>182</v>
      </c>
      <c r="B56" s="130"/>
      <c r="C56" s="130"/>
      <c r="D56" s="131"/>
      <c r="E56" s="185"/>
      <c r="F56" s="186"/>
      <c r="G56" s="93"/>
      <c r="H56" s="93"/>
      <c r="I56" s="100"/>
      <c r="J56" s="2"/>
      <c r="K56" s="2"/>
    </row>
    <row r="57" spans="1:11" ht="24.6" customHeight="1" x14ac:dyDescent="0.3">
      <c r="A57" s="129" t="s">
        <v>183</v>
      </c>
      <c r="B57" s="130"/>
      <c r="C57" s="130"/>
      <c r="D57" s="131"/>
      <c r="E57" s="123"/>
      <c r="F57" s="124"/>
      <c r="G57" s="93"/>
      <c r="H57" s="93"/>
      <c r="I57" s="100"/>
      <c r="J57" s="2"/>
      <c r="K57" s="2"/>
    </row>
    <row r="58" spans="1:11" x14ac:dyDescent="0.3">
      <c r="A58" s="125"/>
      <c r="B58" s="125"/>
      <c r="C58" s="1"/>
      <c r="D58" s="1"/>
      <c r="E58" s="3"/>
      <c r="F58" s="1"/>
      <c r="G58" s="1"/>
      <c r="H58" s="1"/>
      <c r="I58" s="2"/>
      <c r="J58" s="2"/>
      <c r="K58" s="2"/>
    </row>
    <row r="59" spans="1:11" x14ac:dyDescent="0.3">
      <c r="A59" s="119"/>
      <c r="B59" s="119"/>
      <c r="C59" s="1"/>
      <c r="D59" s="1"/>
      <c r="E59" s="3"/>
      <c r="F59" s="1"/>
      <c r="G59" s="1"/>
      <c r="H59" s="1"/>
      <c r="I59" s="2"/>
      <c r="J59" s="2"/>
      <c r="K59" s="2"/>
    </row>
    <row r="60" spans="1:11" x14ac:dyDescent="0.3">
      <c r="A60" s="119"/>
      <c r="B60" s="119"/>
      <c r="C60" s="1"/>
      <c r="D60" s="1"/>
      <c r="E60" s="3"/>
      <c r="F60" s="1"/>
      <c r="G60" s="1"/>
      <c r="H60" s="1"/>
      <c r="I60" s="2"/>
      <c r="J60" s="2"/>
      <c r="K60" s="2"/>
    </row>
    <row r="61" spans="1:11" x14ac:dyDescent="0.3">
      <c r="A61" s="119"/>
      <c r="B61" s="119"/>
      <c r="C61" s="1"/>
      <c r="D61" s="1"/>
      <c r="E61" s="3"/>
      <c r="F61" s="1"/>
      <c r="G61" s="1"/>
      <c r="H61" s="1"/>
      <c r="I61" s="2"/>
      <c r="J61" s="2"/>
      <c r="K61" s="2"/>
    </row>
  </sheetData>
  <mergeCells count="92">
    <mergeCell ref="A9:D9"/>
    <mergeCell ref="I9:I10"/>
    <mergeCell ref="A10:E10"/>
    <mergeCell ref="A11:D11"/>
    <mergeCell ref="I11:I12"/>
    <mergeCell ref="A12:E12"/>
    <mergeCell ref="B1:E1"/>
    <mergeCell ref="A2:B2"/>
    <mergeCell ref="A4:D7"/>
    <mergeCell ref="A8:D8"/>
    <mergeCell ref="F8:H8"/>
    <mergeCell ref="A15:D15"/>
    <mergeCell ref="I15:I16"/>
    <mergeCell ref="A16:E16"/>
    <mergeCell ref="A13:D13"/>
    <mergeCell ref="I13:I14"/>
    <mergeCell ref="A14:E14"/>
    <mergeCell ref="A17:D17"/>
    <mergeCell ref="I17:I18"/>
    <mergeCell ref="A18:E18"/>
    <mergeCell ref="A19:D19"/>
    <mergeCell ref="I19:I20"/>
    <mergeCell ref="A20:E20"/>
    <mergeCell ref="A21:D21"/>
    <mergeCell ref="I21:I22"/>
    <mergeCell ref="A22:E22"/>
    <mergeCell ref="A23:D23"/>
    <mergeCell ref="I23:I24"/>
    <mergeCell ref="A24:E24"/>
    <mergeCell ref="A25:D25"/>
    <mergeCell ref="I25:I26"/>
    <mergeCell ref="A26:E26"/>
    <mergeCell ref="A29:D29"/>
    <mergeCell ref="I29:I30"/>
    <mergeCell ref="A30:E30"/>
    <mergeCell ref="A27:D27"/>
    <mergeCell ref="I27:I28"/>
    <mergeCell ref="A28:E28"/>
    <mergeCell ref="A31:D31"/>
    <mergeCell ref="I31:I32"/>
    <mergeCell ref="A32:E32"/>
    <mergeCell ref="A36:I36"/>
    <mergeCell ref="A33:D33"/>
    <mergeCell ref="I33:I34"/>
    <mergeCell ref="A34:E34"/>
    <mergeCell ref="A35:D35"/>
    <mergeCell ref="A37:D37"/>
    <mergeCell ref="F37:H37"/>
    <mergeCell ref="A40:D40"/>
    <mergeCell ref="F40:H40"/>
    <mergeCell ref="I40:I41"/>
    <mergeCell ref="A41:E41"/>
    <mergeCell ref="F41:H41"/>
    <mergeCell ref="A38:D38"/>
    <mergeCell ref="F38:H38"/>
    <mergeCell ref="I38:I39"/>
    <mergeCell ref="A39:E39"/>
    <mergeCell ref="F39:H39"/>
    <mergeCell ref="A44:D44"/>
    <mergeCell ref="F44:H44"/>
    <mergeCell ref="I44:I45"/>
    <mergeCell ref="A45:E45"/>
    <mergeCell ref="F45:H45"/>
    <mergeCell ref="A42:D42"/>
    <mergeCell ref="F42:H42"/>
    <mergeCell ref="I42:I43"/>
    <mergeCell ref="A43:E43"/>
    <mergeCell ref="F43:H43"/>
    <mergeCell ref="A47:I47"/>
    <mergeCell ref="A51:D51"/>
    <mergeCell ref="E51:F51"/>
    <mergeCell ref="A52:D52"/>
    <mergeCell ref="E52:F52"/>
    <mergeCell ref="E48:F48"/>
    <mergeCell ref="I48:I50"/>
    <mergeCell ref="E49:F49"/>
    <mergeCell ref="A50:D50"/>
    <mergeCell ref="E50:H50"/>
    <mergeCell ref="A53:D53"/>
    <mergeCell ref="E53:F53"/>
    <mergeCell ref="A61:B61"/>
    <mergeCell ref="A54:D54"/>
    <mergeCell ref="E54:F54"/>
    <mergeCell ref="A55:D55"/>
    <mergeCell ref="E55:F55"/>
    <mergeCell ref="A56:D56"/>
    <mergeCell ref="E56:F56"/>
    <mergeCell ref="A57:D57"/>
    <mergeCell ref="E57:F57"/>
    <mergeCell ref="A58:B58"/>
    <mergeCell ref="A59:B59"/>
    <mergeCell ref="A60:B60"/>
  </mergeCells>
  <pageMargins left="0.7" right="0.7" top="0.75" bottom="0.75" header="0.3" footer="0.3"/>
  <extLst>
    <ext xmlns:x14="http://schemas.microsoft.com/office/spreadsheetml/2009/9/main" uri="{CCE6A557-97BC-4b89-ADB6-D9C93CAAB3DF}">
      <x14:dataValidations xmlns:xm="http://schemas.microsoft.com/office/excel/2006/main" count="5">
        <x14:dataValidation type="list" allowBlank="1" showInputMessage="1" showErrorMessage="1" xr:uid="{5635CD9F-F13E-444E-A9A6-20F5627A9C7D}">
          <x14:formula1>
            <xm:f>Data!$C$13:$C$17</xm:f>
          </x14:formula1>
          <xm:sqref>F5:H5</xm:sqref>
        </x14:dataValidation>
        <x14:dataValidation type="list" allowBlank="1" showInputMessage="1" showErrorMessage="1" xr:uid="{FECCF765-D2CA-4E3A-8700-39386A83B6FC}">
          <x14:formula1>
            <xm:f>Data!$A$13:$A$20</xm:f>
          </x14:formula1>
          <xm:sqref>F6:H6</xm:sqref>
        </x14:dataValidation>
        <x14:dataValidation type="list" allowBlank="1" showInputMessage="1" showErrorMessage="1" xr:uid="{6ED0D639-F1F1-4713-A829-F2A0F6A1BC68}">
          <x14:formula1>
            <xm:f>Data!$G$3:$G$5</xm:f>
          </x14:formula1>
          <xm:sqref>G9:H9 G11:H11 G13:H13 G15:H15 G17:H17 G19:H19 G21:H21 G23:H23 G25:H25 G27:H27 G29:H29 G31:H31 G33:H33</xm:sqref>
        </x14:dataValidation>
        <x14:dataValidation type="list" allowBlank="1" showInputMessage="1" showErrorMessage="1" xr:uid="{70DD23D2-4F98-4733-9034-DF05B4374FDE}">
          <x14:formula1>
            <xm:f>Data!$E$3:$E$5</xm:f>
          </x14:formula1>
          <xm:sqref>F9 F11 F13 F15 F17 F19 F21 F23 F25 F27 F29 F31 F33</xm:sqref>
        </x14:dataValidation>
        <x14:dataValidation type="list" allowBlank="1" showInputMessage="1" showErrorMessage="1" xr:uid="{9E49ADDF-DA6E-4259-AC5C-89BBE0BA85A4}">
          <x14:formula1>
            <xm:f>Data!$I$3:$I$5</xm:f>
          </x14:formula1>
          <xm:sqref>F38:H38 F40:H40 F42:H42 F44:H44</xm:sqref>
        </x14:dataValidation>
      </x14:dataValidations>
    </ext>
  </extLst>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03D1C1-C8E6-400F-A782-8546D964B94E}">
  <dimension ref="A1:K54"/>
  <sheetViews>
    <sheetView topLeftCell="A3" workbookViewId="0">
      <selection activeCell="K55" sqref="K55"/>
    </sheetView>
  </sheetViews>
  <sheetFormatPr defaultRowHeight="14.4" x14ac:dyDescent="0.3"/>
  <cols>
    <col min="1" max="1" width="27.5546875" bestFit="1" customWidth="1"/>
    <col min="3" max="3" width="22.44140625" customWidth="1"/>
    <col min="5" max="5" width="26.44140625" customWidth="1"/>
    <col min="7" max="7" width="28.5546875" customWidth="1"/>
    <col min="9" max="9" width="15" customWidth="1"/>
    <col min="11" max="11" width="52.88671875" bestFit="1" customWidth="1"/>
  </cols>
  <sheetData>
    <row r="1" spans="1:11" x14ac:dyDescent="0.3">
      <c r="A1" t="s">
        <v>184</v>
      </c>
      <c r="C1" t="s">
        <v>185</v>
      </c>
      <c r="E1" t="s">
        <v>186</v>
      </c>
      <c r="G1" s="70" t="s">
        <v>187</v>
      </c>
      <c r="I1" t="s">
        <v>188</v>
      </c>
      <c r="K1" t="s">
        <v>189</v>
      </c>
    </row>
    <row r="2" spans="1:11" x14ac:dyDescent="0.3">
      <c r="A2" t="s">
        <v>27</v>
      </c>
      <c r="C2" t="s">
        <v>27</v>
      </c>
      <c r="E2" s="70"/>
      <c r="G2" s="70"/>
      <c r="I2" s="70"/>
      <c r="J2" s="70"/>
      <c r="K2" s="70"/>
    </row>
    <row r="3" spans="1:11" x14ac:dyDescent="0.3">
      <c r="A3" t="s">
        <v>190</v>
      </c>
      <c r="C3" t="s">
        <v>191</v>
      </c>
      <c r="E3" s="70">
        <v>4</v>
      </c>
      <c r="G3" s="70">
        <v>3</v>
      </c>
      <c r="I3" s="70">
        <v>10</v>
      </c>
      <c r="J3" s="70"/>
      <c r="K3" s="70" t="s">
        <v>192</v>
      </c>
    </row>
    <row r="4" spans="1:11" x14ac:dyDescent="0.3">
      <c r="A4" t="s">
        <v>193</v>
      </c>
      <c r="C4" t="s">
        <v>194</v>
      </c>
      <c r="E4" s="70">
        <v>0</v>
      </c>
      <c r="G4" s="70">
        <v>0</v>
      </c>
      <c r="I4" s="70">
        <v>0</v>
      </c>
      <c r="J4" s="70"/>
      <c r="K4" s="70" t="s">
        <v>195</v>
      </c>
    </row>
    <row r="5" spans="1:11" x14ac:dyDescent="0.3">
      <c r="A5" t="s">
        <v>196</v>
      </c>
      <c r="C5" t="s">
        <v>197</v>
      </c>
      <c r="E5" s="70" t="s">
        <v>97</v>
      </c>
      <c r="G5" s="70" t="s">
        <v>97</v>
      </c>
      <c r="I5" s="70" t="s">
        <v>97</v>
      </c>
      <c r="J5" s="70"/>
    </row>
    <row r="6" spans="1:11" x14ac:dyDescent="0.3">
      <c r="A6" t="s">
        <v>198</v>
      </c>
      <c r="C6" t="s">
        <v>190</v>
      </c>
      <c r="K6" t="s">
        <v>199</v>
      </c>
    </row>
    <row r="7" spans="1:11" x14ac:dyDescent="0.3">
      <c r="A7" t="s">
        <v>200</v>
      </c>
      <c r="C7" t="s">
        <v>201</v>
      </c>
      <c r="I7" t="s">
        <v>202</v>
      </c>
    </row>
    <row r="8" spans="1:11" x14ac:dyDescent="0.3">
      <c r="A8" t="s">
        <v>203</v>
      </c>
      <c r="C8" t="s">
        <v>204</v>
      </c>
      <c r="I8" s="71"/>
      <c r="K8" s="72" t="s">
        <v>205</v>
      </c>
    </row>
    <row r="9" spans="1:11" x14ac:dyDescent="0.3">
      <c r="A9" t="s">
        <v>206</v>
      </c>
      <c r="C9" t="s">
        <v>207</v>
      </c>
      <c r="I9" s="71" t="s">
        <v>208</v>
      </c>
      <c r="K9" s="73" t="s">
        <v>209</v>
      </c>
    </row>
    <row r="10" spans="1:11" x14ac:dyDescent="0.3">
      <c r="I10" s="71" t="s">
        <v>210</v>
      </c>
      <c r="K10" s="72" t="s">
        <v>211</v>
      </c>
    </row>
    <row r="11" spans="1:11" x14ac:dyDescent="0.3">
      <c r="E11" t="s">
        <v>212</v>
      </c>
      <c r="G11" t="s">
        <v>213</v>
      </c>
      <c r="I11" s="71" t="s">
        <v>214</v>
      </c>
      <c r="K11" s="73" t="s">
        <v>215</v>
      </c>
    </row>
    <row r="12" spans="1:11" x14ac:dyDescent="0.3">
      <c r="A12" t="s">
        <v>127</v>
      </c>
      <c r="C12" t="s">
        <v>216</v>
      </c>
      <c r="E12" t="s">
        <v>27</v>
      </c>
      <c r="G12" t="s">
        <v>27</v>
      </c>
      <c r="I12" s="71" t="s">
        <v>217</v>
      </c>
      <c r="K12" s="72" t="s">
        <v>2</v>
      </c>
    </row>
    <row r="13" spans="1:11" x14ac:dyDescent="0.3">
      <c r="A13" t="s">
        <v>27</v>
      </c>
      <c r="C13" t="s">
        <v>27</v>
      </c>
      <c r="E13" t="s">
        <v>218</v>
      </c>
      <c r="G13" t="s">
        <v>219</v>
      </c>
      <c r="I13" s="71" t="s">
        <v>220</v>
      </c>
      <c r="K13" s="73" t="s">
        <v>221</v>
      </c>
    </row>
    <row r="14" spans="1:11" x14ac:dyDescent="0.3">
      <c r="A14" t="s">
        <v>222</v>
      </c>
      <c r="C14" t="s">
        <v>223</v>
      </c>
      <c r="E14" t="s">
        <v>224</v>
      </c>
      <c r="G14" t="s">
        <v>225</v>
      </c>
      <c r="I14" s="71" t="s">
        <v>226</v>
      </c>
      <c r="K14" s="72" t="s">
        <v>227</v>
      </c>
    </row>
    <row r="15" spans="1:11" x14ac:dyDescent="0.3">
      <c r="A15" t="s">
        <v>228</v>
      </c>
      <c r="C15" t="s">
        <v>126</v>
      </c>
      <c r="E15" t="s">
        <v>229</v>
      </c>
      <c r="G15" t="s">
        <v>230</v>
      </c>
      <c r="I15" s="71" t="s">
        <v>231</v>
      </c>
      <c r="K15" s="73" t="s">
        <v>232</v>
      </c>
    </row>
    <row r="16" spans="1:11" x14ac:dyDescent="0.3">
      <c r="A16" t="s">
        <v>128</v>
      </c>
      <c r="C16" t="s">
        <v>233</v>
      </c>
      <c r="E16" t="s">
        <v>234</v>
      </c>
      <c r="I16" s="71" t="s">
        <v>235</v>
      </c>
      <c r="K16" s="72" t="s">
        <v>236</v>
      </c>
    </row>
    <row r="17" spans="1:11" x14ac:dyDescent="0.3">
      <c r="A17" t="s">
        <v>237</v>
      </c>
      <c r="C17" t="s">
        <v>238</v>
      </c>
      <c r="E17" t="s">
        <v>196</v>
      </c>
      <c r="G17" t="s">
        <v>239</v>
      </c>
      <c r="I17" s="71" t="s">
        <v>240</v>
      </c>
      <c r="K17" s="73" t="s">
        <v>241</v>
      </c>
    </row>
    <row r="18" spans="1:11" x14ac:dyDescent="0.3">
      <c r="A18" t="s">
        <v>242</v>
      </c>
      <c r="E18" t="s">
        <v>243</v>
      </c>
      <c r="G18" t="s">
        <v>27</v>
      </c>
      <c r="I18" s="71" t="s">
        <v>4</v>
      </c>
      <c r="K18" s="72" t="s">
        <v>244</v>
      </c>
    </row>
    <row r="19" spans="1:11" x14ac:dyDescent="0.3">
      <c r="A19" t="s">
        <v>129</v>
      </c>
      <c r="C19" t="s">
        <v>245</v>
      </c>
      <c r="E19" t="s">
        <v>246</v>
      </c>
      <c r="G19" t="s">
        <v>77</v>
      </c>
      <c r="I19" s="71" t="s">
        <v>247</v>
      </c>
      <c r="K19" s="73" t="s">
        <v>248</v>
      </c>
    </row>
    <row r="20" spans="1:11" x14ac:dyDescent="0.3">
      <c r="A20" t="s">
        <v>249</v>
      </c>
      <c r="C20" t="s">
        <v>27</v>
      </c>
      <c r="G20" t="s">
        <v>250</v>
      </c>
      <c r="I20" s="71" t="s">
        <v>251</v>
      </c>
      <c r="K20" s="72" t="s">
        <v>252</v>
      </c>
    </row>
    <row r="21" spans="1:11" x14ac:dyDescent="0.3">
      <c r="C21" t="s">
        <v>253</v>
      </c>
      <c r="E21" t="s">
        <v>254</v>
      </c>
      <c r="G21" t="s">
        <v>255</v>
      </c>
      <c r="K21" s="73" t="s">
        <v>256</v>
      </c>
    </row>
    <row r="22" spans="1:11" x14ac:dyDescent="0.3">
      <c r="A22" t="s">
        <v>257</v>
      </c>
      <c r="C22" t="s">
        <v>258</v>
      </c>
      <c r="E22" t="s">
        <v>27</v>
      </c>
      <c r="G22" t="s">
        <v>259</v>
      </c>
      <c r="K22" s="72" t="s">
        <v>260</v>
      </c>
    </row>
    <row r="23" spans="1:11" x14ac:dyDescent="0.3">
      <c r="A23" t="s">
        <v>27</v>
      </c>
      <c r="C23" t="s">
        <v>261</v>
      </c>
      <c r="E23" t="s">
        <v>262</v>
      </c>
      <c r="G23" t="s">
        <v>97</v>
      </c>
      <c r="K23" s="73" t="s">
        <v>263</v>
      </c>
    </row>
    <row r="24" spans="1:11" x14ac:dyDescent="0.3">
      <c r="A24" t="s">
        <v>264</v>
      </c>
      <c r="C24" t="s">
        <v>265</v>
      </c>
      <c r="E24" t="s">
        <v>266</v>
      </c>
      <c r="K24" s="72" t="s">
        <v>267</v>
      </c>
    </row>
    <row r="25" spans="1:11" x14ac:dyDescent="0.3">
      <c r="A25" t="s">
        <v>196</v>
      </c>
      <c r="C25" t="s">
        <v>268</v>
      </c>
      <c r="E25" t="s">
        <v>77</v>
      </c>
      <c r="K25" s="72" t="s">
        <v>269</v>
      </c>
    </row>
    <row r="26" spans="1:11" x14ac:dyDescent="0.3">
      <c r="A26" t="s">
        <v>270</v>
      </c>
      <c r="C26" t="s">
        <v>271</v>
      </c>
      <c r="E26" t="s">
        <v>272</v>
      </c>
      <c r="K26" s="73" t="s">
        <v>273</v>
      </c>
    </row>
    <row r="27" spans="1:11" x14ac:dyDescent="0.3">
      <c r="A27" s="74" t="s">
        <v>274</v>
      </c>
      <c r="C27" t="s">
        <v>275</v>
      </c>
      <c r="E27" t="s">
        <v>259</v>
      </c>
      <c r="K27" s="72" t="s">
        <v>276</v>
      </c>
    </row>
    <row r="28" spans="1:11" x14ac:dyDescent="0.3">
      <c r="A28" t="s">
        <v>277</v>
      </c>
      <c r="C28" t="s">
        <v>278</v>
      </c>
      <c r="E28" t="s">
        <v>279</v>
      </c>
      <c r="K28" s="73" t="s">
        <v>280</v>
      </c>
    </row>
    <row r="29" spans="1:11" x14ac:dyDescent="0.3">
      <c r="C29" t="s">
        <v>196</v>
      </c>
      <c r="E29" t="s">
        <v>196</v>
      </c>
      <c r="K29" s="72" t="s">
        <v>281</v>
      </c>
    </row>
    <row r="30" spans="1:11" x14ac:dyDescent="0.3">
      <c r="K30" s="73" t="s">
        <v>282</v>
      </c>
    </row>
    <row r="31" spans="1:11" x14ac:dyDescent="0.3">
      <c r="K31" s="72" t="s">
        <v>283</v>
      </c>
    </row>
    <row r="32" spans="1:11" x14ac:dyDescent="0.3">
      <c r="K32" s="73" t="s">
        <v>284</v>
      </c>
    </row>
    <row r="33" spans="11:11" x14ac:dyDescent="0.3">
      <c r="K33" s="72" t="s">
        <v>285</v>
      </c>
    </row>
    <row r="34" spans="11:11" x14ac:dyDescent="0.3">
      <c r="K34" s="73" t="s">
        <v>286</v>
      </c>
    </row>
    <row r="35" spans="11:11" x14ac:dyDescent="0.3">
      <c r="K35" s="72" t="s">
        <v>287</v>
      </c>
    </row>
    <row r="36" spans="11:11" x14ac:dyDescent="0.3">
      <c r="K36" s="73" t="s">
        <v>288</v>
      </c>
    </row>
    <row r="37" spans="11:11" x14ac:dyDescent="0.3">
      <c r="K37" s="72" t="s">
        <v>289</v>
      </c>
    </row>
    <row r="38" spans="11:11" x14ac:dyDescent="0.3">
      <c r="K38" s="73" t="s">
        <v>290</v>
      </c>
    </row>
    <row r="39" spans="11:11" x14ac:dyDescent="0.3">
      <c r="K39" s="72" t="s">
        <v>291</v>
      </c>
    </row>
    <row r="40" spans="11:11" x14ac:dyDescent="0.3">
      <c r="K40" s="73" t="s">
        <v>292</v>
      </c>
    </row>
    <row r="41" spans="11:11" x14ac:dyDescent="0.3">
      <c r="K41" s="72" t="s">
        <v>293</v>
      </c>
    </row>
    <row r="42" spans="11:11" x14ac:dyDescent="0.3">
      <c r="K42" s="73" t="s">
        <v>294</v>
      </c>
    </row>
    <row r="43" spans="11:11" x14ac:dyDescent="0.3">
      <c r="K43" s="72" t="s">
        <v>295</v>
      </c>
    </row>
    <row r="44" spans="11:11" x14ac:dyDescent="0.3">
      <c r="K44" s="73" t="s">
        <v>296</v>
      </c>
    </row>
    <row r="45" spans="11:11" x14ac:dyDescent="0.3">
      <c r="K45" s="72" t="s">
        <v>297</v>
      </c>
    </row>
    <row r="46" spans="11:11" x14ac:dyDescent="0.3">
      <c r="K46" s="73" t="s">
        <v>298</v>
      </c>
    </row>
    <row r="47" spans="11:11" x14ac:dyDescent="0.3">
      <c r="K47" s="72" t="s">
        <v>299</v>
      </c>
    </row>
    <row r="48" spans="11:11" x14ac:dyDescent="0.3">
      <c r="K48" s="72" t="s">
        <v>300</v>
      </c>
    </row>
    <row r="49" spans="11:11" x14ac:dyDescent="0.3">
      <c r="K49" s="73" t="s">
        <v>301</v>
      </c>
    </row>
    <row r="50" spans="11:11" x14ac:dyDescent="0.3">
      <c r="K50" s="72" t="s">
        <v>302</v>
      </c>
    </row>
    <row r="51" spans="11:11" x14ac:dyDescent="0.3">
      <c r="K51" s="73" t="s">
        <v>303</v>
      </c>
    </row>
    <row r="52" spans="11:11" x14ac:dyDescent="0.3">
      <c r="K52" s="72" t="s">
        <v>304</v>
      </c>
    </row>
    <row r="53" spans="11:11" x14ac:dyDescent="0.3">
      <c r="K53" s="73" t="s">
        <v>305</v>
      </c>
    </row>
    <row r="54" spans="11:11" x14ac:dyDescent="0.3">
      <c r="K54" s="75" t="s">
        <v>306</v>
      </c>
    </row>
  </sheetData>
  <pageMargins left="0.7" right="0.7" top="0.75" bottom="0.75" header="0.3" footer="0.3"/>
  <legacyDrawing r:id="rId1"/>
  <tableParts count="16">
    <tablePart r:id="rId2"/>
    <tablePart r:id="rId3"/>
    <tablePart r:id="rId4"/>
    <tablePart r:id="rId5"/>
    <tablePart r:id="rId6"/>
    <tablePart r:id="rId7"/>
    <tablePart r:id="rId8"/>
    <tablePart r:id="rId9"/>
    <tablePart r:id="rId10"/>
    <tablePart r:id="rId11"/>
    <tablePart r:id="rId12"/>
    <tablePart r:id="rId13"/>
    <tablePart r:id="rId14"/>
    <tablePart r:id="rId15"/>
    <tablePart r:id="rId16"/>
    <tablePart r:id="rId17"/>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ef933668-6965-47a8-8ce8-1d49a4b58b54">
      <Terms xmlns="http://schemas.microsoft.com/office/infopath/2007/PartnerControls"/>
    </lcf76f155ced4ddcb4097134ff3c332f>
    <DateandTime xmlns="ef933668-6965-47a8-8ce8-1d49a4b58b54">2025-12-29T19:11:41+00:00</DateandTime>
    <TaggedinAsana xmlns="ef933668-6965-47a8-8ce8-1d49a4b58b54">false</TaggedinAsana>
    <TaxCatchAll xmlns="812384cb-a50e-43db-9caf-5c3b6c9eb0f7"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3FDB84CDD13E8046875609EB76848407" ma:contentTypeVersion="20" ma:contentTypeDescription="Create a new document." ma:contentTypeScope="" ma:versionID="6b96c1b090e2f274ccacd2bc858d5557">
  <xsd:schema xmlns:xsd="http://www.w3.org/2001/XMLSchema" xmlns:xs="http://www.w3.org/2001/XMLSchema" xmlns:p="http://schemas.microsoft.com/office/2006/metadata/properties" xmlns:ns2="812384cb-a50e-43db-9caf-5c3b6c9eb0f7" xmlns:ns3="ef933668-6965-47a8-8ce8-1d49a4b58b54" targetNamespace="http://schemas.microsoft.com/office/2006/metadata/properties" ma:root="true" ma:fieldsID="e732efb9179872b9c02cb008c38b178a" ns2:_="" ns3:_="">
    <xsd:import namespace="812384cb-a50e-43db-9caf-5c3b6c9eb0f7"/>
    <xsd:import namespace="ef933668-6965-47a8-8ce8-1d49a4b58b54"/>
    <xsd:element name="properties">
      <xsd:complexType>
        <xsd:sequence>
          <xsd:element name="documentManagement">
            <xsd:complexType>
              <xsd:all>
                <xsd:element ref="ns2:SharedWithUsers" minOccurs="0"/>
                <xsd:element ref="ns2:SharedWithDetails" minOccurs="0"/>
                <xsd:element ref="ns3:MediaServiceMetadata" minOccurs="0"/>
                <xsd:element ref="ns3:MediaServiceFastMetadata" minOccurs="0"/>
                <xsd:element ref="ns3:MediaServiceDateTaken" minOccurs="0"/>
                <xsd:element ref="ns3:MediaServiceAutoTags" minOccurs="0"/>
                <xsd:element ref="ns3:MediaServiceOCR" minOccurs="0"/>
                <xsd:element ref="ns3:MediaServiceGenerationTime" minOccurs="0"/>
                <xsd:element ref="ns3:MediaServiceEventHashCode" minOccurs="0"/>
                <xsd:element ref="ns3:MediaServiceAutoKeyPoints" minOccurs="0"/>
                <xsd:element ref="ns3:MediaServiceKeyPoints" minOccurs="0"/>
                <xsd:element ref="ns3:MediaLengthInSeconds" minOccurs="0"/>
                <xsd:element ref="ns3:MediaServiceLocation" minOccurs="0"/>
                <xsd:element ref="ns3:TaggedinAsana" minOccurs="0"/>
                <xsd:element ref="ns3:DateandTime" minOccurs="0"/>
                <xsd:element ref="ns3:lcf76f155ced4ddcb4097134ff3c332f" minOccurs="0"/>
                <xsd:element ref="ns2:TaxCatchAll" minOccurs="0"/>
                <xsd:element ref="ns3:MediaServiceObjectDetectorVersions" minOccurs="0"/>
                <xsd:element ref="ns3: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12384cb-a50e-43db-9caf-5c3b6c9eb0f7" elementFormDefault="qualified">
    <xsd:import namespace="http://schemas.microsoft.com/office/2006/documentManagement/types"/>
    <xsd:import namespace="http://schemas.microsoft.com/office/infopath/2007/PartnerControls"/>
    <xsd:element name="SharedWithUsers" ma:index="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internalName="SharedWithDetails" ma:readOnly="true">
      <xsd:simpleType>
        <xsd:restriction base="dms:Note">
          <xsd:maxLength value="255"/>
        </xsd:restriction>
      </xsd:simpleType>
    </xsd:element>
    <xsd:element name="TaxCatchAll" ma:index="25" nillable="true" ma:displayName="Taxonomy Catch All Column" ma:hidden="true" ma:list="{98e93058-a749-48b3-8e4e-22416480f6df}" ma:internalName="TaxCatchAll" ma:showField="CatchAllData" ma:web="812384cb-a50e-43db-9caf-5c3b6c9eb0f7">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ef933668-6965-47a8-8ce8-1d49a4b58b54" elementFormDefault="qualified">
    <xsd:import namespace="http://schemas.microsoft.com/office/2006/documentManagement/types"/>
    <xsd:import namespace="http://schemas.microsoft.com/office/infopath/2007/PartnerControls"/>
    <xsd:element name="MediaServiceMetadata" ma:index="10" nillable="true" ma:displayName="MediaServiceMetadata" ma:hidden="true" ma:internalName="MediaServiceMetadata" ma:readOnly="true">
      <xsd:simpleType>
        <xsd:restriction base="dms:Note"/>
      </xsd:simpleType>
    </xsd:element>
    <xsd:element name="MediaServiceFastMetadata" ma:index="11" nillable="true" ma:displayName="MediaServiceFastMetadata" ma:hidden="true" ma:internalName="MediaServiceFastMetadata" ma:readOnly="true">
      <xsd:simpleType>
        <xsd:restriction base="dms:Note"/>
      </xsd:simpleType>
    </xsd:element>
    <xsd:element name="MediaServiceDateTaken" ma:index="12" nillable="true" ma:displayName="MediaServiceDateTaken" ma:hidden="true" ma:internalName="MediaServiceDateTaken" ma:readOnly="true">
      <xsd:simpleType>
        <xsd:restriction base="dms:Text"/>
      </xsd:simpleType>
    </xsd:element>
    <xsd:element name="MediaServiceAutoTags" ma:index="13" nillable="true" ma:displayName="Tags" ma:internalName="MediaServiceAutoTags" ma:readOnly="true">
      <xsd:simpleType>
        <xsd:restriction base="dms:Text"/>
      </xsd:simpleType>
    </xsd:element>
    <xsd:element name="MediaServiceOCR" ma:index="14" nillable="true" ma:displayName="Extracted Text" ma:internalName="MediaServiceOCR" ma:readOnly="true">
      <xsd:simpleType>
        <xsd:restriction base="dms:Note">
          <xsd:maxLength value="255"/>
        </xsd:restriction>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AutoKeyPoints" ma:index="17" nillable="true" ma:displayName="MediaServiceAutoKeyPoints" ma:hidden="true" ma:internalName="MediaServiceAutoKeyPoints" ma:readOnly="true">
      <xsd:simpleType>
        <xsd:restriction base="dms:Note"/>
      </xsd:simpleType>
    </xsd:element>
    <xsd:element name="MediaServiceKeyPoints" ma:index="18" nillable="true" ma:displayName="KeyPoints" ma:internalName="MediaServiceKeyPoints" ma:readOnly="true">
      <xsd:simpleType>
        <xsd:restriction base="dms:Note">
          <xsd:maxLength value="255"/>
        </xsd:restriction>
      </xsd:simpleType>
    </xsd:element>
    <xsd:element name="MediaLengthInSeconds" ma:index="19" nillable="true" ma:displayName="Length (seconds)" ma:internalName="MediaLengthInSeconds" ma:readOnly="true">
      <xsd:simpleType>
        <xsd:restriction base="dms:Unknown"/>
      </xsd:simpleType>
    </xsd:element>
    <xsd:element name="MediaServiceLocation" ma:index="20" nillable="true" ma:displayName="Location" ma:internalName="MediaServiceLocation" ma:readOnly="true">
      <xsd:simpleType>
        <xsd:restriction base="dms:Text"/>
      </xsd:simpleType>
    </xsd:element>
    <xsd:element name="TaggedinAsana" ma:index="21" nillable="true" ma:displayName="Tagged in Asana " ma:default="0" ma:description="Processed in Asana" ma:format="Dropdown" ma:internalName="TaggedinAsana">
      <xsd:simpleType>
        <xsd:restriction base="dms:Boolean"/>
      </xsd:simpleType>
    </xsd:element>
    <xsd:element name="DateandTime" ma:index="22" nillable="true" ma:displayName="Date and Time" ma:default="[today]" ma:format="DateTime" ma:internalName="DateandTime">
      <xsd:simpleType>
        <xsd:restriction base="dms:DateTime"/>
      </xsd:simpleType>
    </xsd:element>
    <xsd:element name="lcf76f155ced4ddcb4097134ff3c332f" ma:index="24" nillable="true" ma:taxonomy="true" ma:internalName="lcf76f155ced4ddcb4097134ff3c332f" ma:taxonomyFieldName="MediaServiceImageTags" ma:displayName="Image Tags" ma:readOnly="false" ma:fieldId="{5cf76f15-5ced-4ddc-b409-7134ff3c332f}" ma:taxonomyMulti="true" ma:sspId="d2011363-7155-4edc-8305-15cce2d95d1a"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6"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7"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E5950E9B-E62F-4692-8FCF-21DC99E0418A}">
  <ds:schemaRefs>
    <ds:schemaRef ds:uri="http://www.w3.org/XML/1998/namespace"/>
    <ds:schemaRef ds:uri="http://schemas.microsoft.com/office/2006/metadata/properties"/>
    <ds:schemaRef ds:uri="http://schemas.microsoft.com/office/infopath/2007/PartnerControls"/>
    <ds:schemaRef ds:uri="http://schemas.openxmlformats.org/package/2006/metadata/core-properties"/>
    <ds:schemaRef ds:uri="http://purl.org/dc/dcmitype/"/>
    <ds:schemaRef ds:uri="http://purl.org/dc/terms/"/>
    <ds:schemaRef ds:uri="http://schemas.microsoft.com/office/2006/documentManagement/types"/>
    <ds:schemaRef ds:uri="d7bbbafa-64c7-4ce7-b264-4eb01702d3b2"/>
    <ds:schemaRef ds:uri="9c18cc40-43d2-4969-8e22-66c38b7354a5"/>
    <ds:schemaRef ds:uri="http://purl.org/dc/elements/1.1/"/>
  </ds:schemaRefs>
</ds:datastoreItem>
</file>

<file path=customXml/itemProps2.xml><?xml version="1.0" encoding="utf-8"?>
<ds:datastoreItem xmlns:ds="http://schemas.openxmlformats.org/officeDocument/2006/customXml" ds:itemID="{C8A41C36-E091-461E-B3B6-EA5491F204F4}"/>
</file>

<file path=customXml/itemProps3.xml><?xml version="1.0" encoding="utf-8"?>
<ds:datastoreItem xmlns:ds="http://schemas.openxmlformats.org/officeDocument/2006/customXml" ds:itemID="{BFF66B23-0BFD-49D0-9B96-13DC768BCE78}">
  <ds:schemaRefs>
    <ds:schemaRef ds:uri="http://schemas.microsoft.com/sharepoint/v3/contenttype/forms"/>
  </ds:schemaRefs>
</ds:datastoreItem>
</file>

<file path=docMetadata/LabelInfo.xml><?xml version="1.0" encoding="utf-8"?>
<clbl:labelList xmlns:clbl="http://schemas.microsoft.com/office/2020/mipLabelMetadata">
  <clbl:label id="{0e87adc8-49b3-4a6a-83ad-ceb1c4cdee49}" enabled="0" method="" siteId="{0e87adc8-49b3-4a6a-83ad-ceb1c4cdee49}"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Cover Sheet</vt:lpstr>
      <vt:lpstr>Abuse &amp; Grievances</vt:lpstr>
      <vt:lpstr>Accidents &amp; Incidents</vt:lpstr>
      <vt:lpstr>Infection Prevention &amp; Control</vt:lpstr>
      <vt:lpstr>Skin Integrity &amp; Wounds</vt:lpstr>
      <vt:lpstr>Data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Tris Rollins</dc:creator>
  <cp:keywords/>
  <dc:description/>
  <cp:lastModifiedBy>Lisa Norton</cp:lastModifiedBy>
  <cp:revision/>
  <dcterms:created xsi:type="dcterms:W3CDTF">2025-03-14T05:17:32Z</dcterms:created>
  <dcterms:modified xsi:type="dcterms:W3CDTF">2025-10-23T19:31:32Z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0x0101003FDB84CDD13E8046875609EB76848407</vt:lpwstr>
  </property>
</Properties>
</file>