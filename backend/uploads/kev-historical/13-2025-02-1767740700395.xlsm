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09"/>
  <workbookPr defaultThemeVersion="166925"/>
  <mc:AlternateContent xmlns:mc="http://schemas.openxmlformats.org/markup-compatibility/2006">
    <mc:Choice Requires="x15">
      <x15ac:absPath xmlns:x15ac="http://schemas.microsoft.com/office/spreadsheetml/2010/11/ac" url="https://cascadiahcdirectory.sharepoint.com/sites/CompanyFiles/Resources/Clinical/Audit or Review Tools/"/>
    </mc:Choice>
  </mc:AlternateContent>
  <xr:revisionPtr revIDLastSave="443" documentId="8_{8763DF78-250C-4239-93BC-1D5168BA2852}" xr6:coauthVersionLast="47" xr6:coauthVersionMax="47" xr10:uidLastSave="{61EE523F-4898-4547-9DAD-C42E84486491}"/>
  <bookViews>
    <workbookView xWindow="-108" yWindow="-108" windowWidth="23256" windowHeight="12456" firstSheet="5" activeTab="1" xr2:uid="{A5FA8251-8C4B-4FE3-907A-4EB7A1B65C94}"/>
  </bookViews>
  <sheets>
    <sheet name="KEV Score Cards Cover Sheet" sheetId="17" r:id="rId1"/>
    <sheet name="Abuse &amp; Griev" sheetId="23" r:id="rId2"/>
    <sheet name="Accidents &amp; Incidents" sheetId="8" r:id="rId3"/>
    <sheet name="Inf Prev &amp; Cont" sheetId="29" r:id="rId4"/>
    <sheet name="Data" sheetId="18" state="hidden" r:id="rId5"/>
    <sheet name="Skin Integrity &amp; Wounds" sheetId="20" r:id="rId6"/>
  </sheets>
  <definedNames>
    <definedName name="_xlnm._FilterDatabase" localSheetId="5" hidden="1">'Skin Integrity &amp; Wounds'!$A$4:$I$40</definedName>
    <definedName name="_xlnm.Print_Area" localSheetId="1">'Abuse &amp; Griev'!$A$1:$I$51</definedName>
    <definedName name="_xlnm.Print_Area" localSheetId="2">'Accidents &amp; Incidents'!$A$1:$I$61</definedName>
    <definedName name="_xlnm.Print_Area" localSheetId="3">'Inf Prev &amp; Cont'!$A$1:$I$62</definedName>
    <definedName name="_xlnm.Print_Area" localSheetId="5">'Skin Integrity &amp; Wounds'!$A$1:$H$63</definedName>
    <definedName name="_xlnm.Print_Titles" localSheetId="1">'Abuse &amp; Griev'!$4:$7</definedName>
    <definedName name="_xlnm.Print_Titles" localSheetId="2">'Accidents &amp; Incidents'!$4:$7</definedName>
    <definedName name="_xlnm.Print_Titles" localSheetId="3">'Inf Prev &amp; Cont'!$4:$7</definedName>
    <definedName name="_xlnm.Print_Titles" localSheetId="5">'Skin Integrity &amp; Wounds'!$4:$7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5" i="23" l="1"/>
  <c r="I9" i="23"/>
  <c r="I11" i="23"/>
  <c r="I39" i="23"/>
  <c r="E51" i="20"/>
  <c r="C11" i="17" s="1"/>
  <c r="I13" i="20"/>
  <c r="I9" i="20"/>
  <c r="E52" i="29"/>
  <c r="C10" i="17" s="1"/>
  <c r="I22" i="29"/>
  <c r="I24" i="29"/>
  <c r="I26" i="29"/>
  <c r="I20" i="29"/>
  <c r="I30" i="29"/>
  <c r="I17" i="29"/>
  <c r="I50" i="29"/>
  <c r="I48" i="29"/>
  <c r="I46" i="29"/>
  <c r="E41" i="23"/>
  <c r="C8" i="17" s="1"/>
  <c r="I44" i="29"/>
  <c r="I42" i="29"/>
  <c r="I40" i="29"/>
  <c r="I38" i="29"/>
  <c r="I36" i="29"/>
  <c r="I34" i="29"/>
  <c r="I32" i="29"/>
  <c r="I15" i="29"/>
  <c r="I13" i="29"/>
  <c r="I11" i="29"/>
  <c r="I9" i="29"/>
  <c r="I37" i="23"/>
  <c r="I33" i="23"/>
  <c r="I31" i="23"/>
  <c r="I27" i="23"/>
  <c r="I25" i="23"/>
  <c r="I23" i="23"/>
  <c r="I21" i="23"/>
  <c r="I19" i="23"/>
  <c r="I17" i="23"/>
  <c r="I15" i="23"/>
  <c r="I13" i="23"/>
  <c r="I43" i="8"/>
  <c r="I45" i="8"/>
  <c r="I47" i="8"/>
  <c r="I49" i="8"/>
  <c r="I41" i="8"/>
  <c r="I43" i="20"/>
  <c r="I37" i="8"/>
  <c r="I31" i="8"/>
  <c r="I33" i="8"/>
  <c r="I35" i="8"/>
  <c r="I11" i="8"/>
  <c r="I13" i="8"/>
  <c r="I15" i="8"/>
  <c r="I17" i="8"/>
  <c r="I19" i="8"/>
  <c r="I21" i="8"/>
  <c r="I23" i="8"/>
  <c r="I25" i="8"/>
  <c r="I27" i="8"/>
  <c r="I29" i="8"/>
  <c r="I9" i="8"/>
  <c r="I49" i="20"/>
  <c r="I45" i="20"/>
  <c r="I47" i="20"/>
  <c r="I39" i="20"/>
  <c r="I37" i="20"/>
  <c r="I31" i="20"/>
  <c r="I33" i="20"/>
  <c r="I35" i="20"/>
  <c r="I27" i="20"/>
  <c r="I29" i="20"/>
  <c r="I21" i="20"/>
  <c r="I23" i="20"/>
  <c r="I25" i="20"/>
  <c r="I15" i="20"/>
  <c r="I17" i="20"/>
  <c r="I19" i="20"/>
  <c r="I11" i="20"/>
  <c r="E51" i="8"/>
  <c r="C9" i="17" s="1"/>
  <c r="I52" i="29" l="1"/>
  <c r="D10" i="17" s="1"/>
  <c r="E10" i="17" s="1"/>
  <c r="I51" i="20"/>
  <c r="I41" i="23"/>
  <c r="I51" i="8"/>
  <c r="C12" i="17"/>
  <c r="D11" i="17" l="1"/>
  <c r="D9" i="17"/>
  <c r="E9" i="17" s="1"/>
  <c r="D8" i="17"/>
  <c r="E8" i="17" s="1"/>
  <c r="E11" i="17" l="1"/>
  <c r="D12" i="17"/>
  <c r="E12" i="17" s="1"/>
  <c r="C13"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Erin Kelly</author>
  </authors>
  <commentList>
    <comment ref="K43" authorId="0" shapeId="0" xr:uid="{25D250C6-770C-41A5-A486-8E2E57D61262}">
      <text>
        <r>
          <rPr>
            <b/>
            <sz val="9"/>
            <color indexed="81"/>
            <rFont val="Tahoma"/>
            <family val="2"/>
          </rPr>
          <t>Erin Kelly:</t>
        </r>
        <r>
          <rPr>
            <sz val="9"/>
            <color indexed="81"/>
            <rFont val="Tahoma"/>
            <family val="2"/>
          </rPr>
          <t xml:space="preserve">
SNF and a RL (ALF/IL) at the same address and legal name.</t>
        </r>
      </text>
    </comment>
  </commentList>
</comments>
</file>

<file path=xl/sharedStrings.xml><?xml version="1.0" encoding="utf-8"?>
<sst xmlns="http://schemas.openxmlformats.org/spreadsheetml/2006/main" count="570" uniqueCount="342">
  <si>
    <t>Facility Name:</t>
  </si>
  <si>
    <t>Brookfield Health and Rehabilitation of Cascadia</t>
  </si>
  <si>
    <t>Review Period:</t>
  </si>
  <si>
    <t>February 2025</t>
  </si>
  <si>
    <t>Date of Completion:</t>
  </si>
  <si>
    <t>Audit Completed By:</t>
  </si>
  <si>
    <t>Quality Area</t>
  </si>
  <si>
    <t>Total Possible Score</t>
  </si>
  <si>
    <t>Total Met Score</t>
  </si>
  <si>
    <t>Score</t>
  </si>
  <si>
    <t>Abuse &amp; Grievances</t>
  </si>
  <si>
    <t>Accidents &amp; Incidents</t>
  </si>
  <si>
    <t>Infection Prevention &amp; Control</t>
  </si>
  <si>
    <t>Skin Integrity &amp; Wounds</t>
  </si>
  <si>
    <t>Total Quality Review Score</t>
  </si>
  <si>
    <t>Overall Score</t>
  </si>
  <si>
    <t>Note: This document is prepared for Quality Assurance and/or Peer Review and is privileged and confidential. It is protected from disclosure under both federal and state regulations related to Quality Assurance and Peer Review. This document is not to be shared, forwarded, disclosed or otherwise disseminated without explicit permission from the compliance department.</t>
  </si>
  <si>
    <t>Monthly Score Card Summary</t>
  </si>
  <si>
    <t>*Please copy and paste the % score from each category above into the cooresponding box below.</t>
  </si>
  <si>
    <t>Date:</t>
  </si>
  <si>
    <t>Reviewer:</t>
  </si>
  <si>
    <r>
      <rPr>
        <b/>
        <sz val="14"/>
        <color rgb="FF000000"/>
        <rFont val="Arial Narrow"/>
        <family val="2"/>
      </rPr>
      <t xml:space="preserve">Key Element Validation:                 </t>
    </r>
    <r>
      <rPr>
        <b/>
        <i/>
        <sz val="14"/>
        <color rgb="FF000000"/>
        <rFont val="Arial Narrow"/>
        <family val="2"/>
      </rPr>
      <t>Abuse &amp; Grievances</t>
    </r>
  </si>
  <si>
    <t>Resident Name:</t>
  </si>
  <si>
    <t>Robert Mcreary and Patricia Worrel 1/9/25</t>
  </si>
  <si>
    <t>Room #:</t>
  </si>
  <si>
    <t>Resident Selection:</t>
  </si>
  <si>
    <t>Risk Management</t>
  </si>
  <si>
    <t>Select One:</t>
  </si>
  <si>
    <t>Abuse Type:</t>
  </si>
  <si>
    <t>Physical</t>
  </si>
  <si>
    <t>Score Key:                                                                 Met = 4 or 3 | Not Met = 0 | N/A</t>
  </si>
  <si>
    <t>Max Score</t>
  </si>
  <si>
    <r>
      <t xml:space="preserve">Record Review Directions: </t>
    </r>
    <r>
      <rPr>
        <sz val="11"/>
        <color theme="1"/>
        <rFont val="Arial Narrow"/>
        <family val="2"/>
      </rPr>
      <t>Briefly describe the incident in the comments box and select most appropriate score using drop downs.</t>
    </r>
    <r>
      <rPr>
        <sz val="12"/>
        <color theme="1"/>
        <rFont val="Arial Narrow"/>
        <family val="2"/>
      </rPr>
      <t xml:space="preserve"> If not applicable, select "N/A".</t>
    </r>
  </si>
  <si>
    <t>Total Earned Score</t>
  </si>
  <si>
    <r>
      <rPr>
        <b/>
        <sz val="10"/>
        <color theme="1"/>
        <rFont val="Arial Narrow"/>
        <family val="2"/>
      </rPr>
      <t>1)</t>
    </r>
    <r>
      <rPr>
        <sz val="10"/>
        <color theme="1"/>
        <rFont val="Arial Narrow"/>
        <family val="2"/>
      </rPr>
      <t xml:space="preserve"> After review of the </t>
    </r>
    <r>
      <rPr>
        <b/>
        <sz val="10"/>
        <color theme="1"/>
        <rFont val="Arial Narrow"/>
        <family val="2"/>
      </rPr>
      <t>Complaints/Grievance log</t>
    </r>
    <r>
      <rPr>
        <sz val="10"/>
        <color theme="1"/>
        <rFont val="Arial Narrow"/>
        <family val="2"/>
      </rPr>
      <t xml:space="preserve"> over the last 30 days,were all listings reported to the state that meet potiential criteria for abuse?
</t>
    </r>
  </si>
  <si>
    <t>N/A</t>
  </si>
  <si>
    <t>1) Comments:</t>
  </si>
  <si>
    <t>n/a to this review</t>
  </si>
  <si>
    <r>
      <rPr>
        <b/>
        <sz val="10"/>
        <color theme="1"/>
        <rFont val="Arial Narrow"/>
        <family val="2"/>
      </rPr>
      <t>2)</t>
    </r>
    <r>
      <rPr>
        <sz val="10"/>
        <color theme="1"/>
        <rFont val="Arial Narrow"/>
        <family val="2"/>
      </rPr>
      <t xml:space="preserve"> Does the Complaint/Grievance follow-up include steps taken to investigate, summary of pertinent findings, conclusions, corrective action if indicated, date the decision was issues to the person reporting the concern? Did the reporter voice </t>
    </r>
    <r>
      <rPr>
        <b/>
        <sz val="10"/>
        <color theme="1"/>
        <rFont val="Arial Narrow"/>
        <family val="2"/>
      </rPr>
      <t>satisfaction with the resolution</t>
    </r>
    <r>
      <rPr>
        <sz val="10"/>
        <color theme="1"/>
        <rFont val="Arial Narrow"/>
        <family val="2"/>
      </rPr>
      <t xml:space="preserve">?
</t>
    </r>
  </si>
  <si>
    <t>2) Comments:</t>
  </si>
  <si>
    <r>
      <rPr>
        <b/>
        <sz val="10"/>
        <color theme="1"/>
        <rFont val="Arial Narrow"/>
        <family val="2"/>
      </rPr>
      <t>3)</t>
    </r>
    <r>
      <rPr>
        <sz val="10"/>
        <color theme="1"/>
        <rFont val="Arial Narrow"/>
        <family val="2"/>
      </rPr>
      <t xml:space="preserve"> After review of the last months </t>
    </r>
    <r>
      <rPr>
        <b/>
        <sz val="10"/>
        <color theme="1"/>
        <rFont val="Arial Narrow"/>
        <family val="2"/>
      </rPr>
      <t>Resident Council Minutes</t>
    </r>
    <r>
      <rPr>
        <sz val="10"/>
        <color theme="1"/>
        <rFont val="Arial Narrow"/>
        <family val="2"/>
      </rPr>
      <t>, were all listings reported to the state that meet potiential criteria for abuse?</t>
    </r>
  </si>
  <si>
    <t>3) Comments:</t>
  </si>
  <si>
    <r>
      <rPr>
        <b/>
        <sz val="10"/>
        <color theme="1"/>
        <rFont val="Arial Narrow"/>
        <family val="2"/>
      </rPr>
      <t>4)</t>
    </r>
    <r>
      <rPr>
        <sz val="10"/>
        <color theme="1"/>
        <rFont val="Arial Narrow"/>
        <family val="2"/>
      </rPr>
      <t xml:space="preserve"> After review of </t>
    </r>
    <r>
      <rPr>
        <b/>
        <sz val="10"/>
        <color theme="1"/>
        <rFont val="Arial Narrow"/>
        <family val="2"/>
      </rPr>
      <t>Risk Management Log</t>
    </r>
    <r>
      <rPr>
        <sz val="10"/>
        <color theme="1"/>
        <rFont val="Arial Narrow"/>
        <family val="2"/>
      </rPr>
      <t>, were all listings reported to the state that meet potiential criteria for abuse? Were applicable areas reviewed to include CPR codes, medication errors, fractures, head injuries, avoidable pressure areas, systemic/repeat patterns of care delivery failure (grooming, dehydration, MASD, malnourishment)? Was a determination made to validate, not validated, or leave as inconclusive?</t>
    </r>
  </si>
  <si>
    <t>4) Comments:</t>
  </si>
  <si>
    <r>
      <t xml:space="preserve">5) </t>
    </r>
    <r>
      <rPr>
        <sz val="10"/>
        <color theme="1"/>
        <rFont val="Arial Narrow"/>
        <family val="2"/>
      </rPr>
      <t xml:space="preserve">After review of the </t>
    </r>
    <r>
      <rPr>
        <b/>
        <sz val="10"/>
        <color theme="1"/>
        <rFont val="Arial Narrow"/>
        <family val="2"/>
      </rPr>
      <t>Narcotic Logs</t>
    </r>
    <r>
      <rPr>
        <sz val="10"/>
        <color theme="1"/>
        <rFont val="Arial Narrow"/>
        <family val="2"/>
      </rPr>
      <t>, does the MAR match the narcotic log and match the drawer count? Does the facility complete drug reconciliation reviews from pharmacy narcotic delivery notification?</t>
    </r>
    <r>
      <rPr>
        <b/>
        <sz val="10"/>
        <color theme="1"/>
        <rFont val="Arial Narrow"/>
        <family val="2"/>
      </rPr>
      <t xml:space="preserve"> Semaglutide</t>
    </r>
    <r>
      <rPr>
        <sz val="10"/>
        <color theme="1"/>
        <rFont val="Arial Narrow"/>
        <family val="2"/>
      </rPr>
      <t xml:space="preserve"> is currently on the list of diverted medication, is Semaglutide type injections included in facility count process?</t>
    </r>
  </si>
  <si>
    <t>5) Comments:</t>
  </si>
  <si>
    <r>
      <rPr>
        <b/>
        <sz val="10"/>
        <color theme="1"/>
        <rFont val="Arial Narrow"/>
        <family val="2"/>
      </rPr>
      <t>6)</t>
    </r>
    <r>
      <rPr>
        <sz val="10"/>
        <color theme="1"/>
        <rFont val="Arial Narrow"/>
        <family val="2"/>
      </rPr>
      <t xml:space="preserve"> If a </t>
    </r>
    <r>
      <rPr>
        <b/>
        <sz val="10"/>
        <color theme="1"/>
        <rFont val="Arial Narrow"/>
        <family val="2"/>
      </rPr>
      <t>state reportable</t>
    </r>
    <r>
      <rPr>
        <sz val="10"/>
        <color theme="1"/>
        <rFont val="Arial Narrow"/>
        <family val="2"/>
      </rPr>
      <t xml:space="preserve"> event was completed, was it reported timely (serious bodily injury - 2 hours, others - 24 hours), was a law enforcement report filed if indicated?</t>
    </r>
  </si>
  <si>
    <t>6) Comments:</t>
  </si>
  <si>
    <r>
      <t xml:space="preserve">7) </t>
    </r>
    <r>
      <rPr>
        <sz val="10"/>
        <color theme="1"/>
        <rFont val="Arial Narrow"/>
        <family val="2"/>
      </rPr>
      <t>Was a</t>
    </r>
    <r>
      <rPr>
        <b/>
        <sz val="10"/>
        <color theme="1"/>
        <rFont val="Arial Narrow"/>
        <family val="2"/>
      </rPr>
      <t xml:space="preserve"> thorough investigation</t>
    </r>
    <r>
      <rPr>
        <sz val="10"/>
        <color theme="1"/>
        <rFont val="Arial Narrow"/>
        <family val="2"/>
      </rPr>
      <t xml:space="preserve"> completed, documented, and filed within 5 business days? Were applicable areas reviewed to include signed staff/witness interviews, resident interview(s), skin check, pain eval, psychosocial harm?</t>
    </r>
  </si>
  <si>
    <t>7) Comments:</t>
  </si>
  <si>
    <r>
      <t xml:space="preserve">8) </t>
    </r>
    <r>
      <rPr>
        <sz val="10"/>
        <color theme="1"/>
        <rFont val="Arial Narrow"/>
        <family val="2"/>
      </rPr>
      <t xml:space="preserve">Was the </t>
    </r>
    <r>
      <rPr>
        <b/>
        <sz val="10"/>
        <color theme="1"/>
        <rFont val="Arial Narrow"/>
        <family val="2"/>
      </rPr>
      <t>resident protected</t>
    </r>
    <r>
      <rPr>
        <sz val="10"/>
        <color theme="1"/>
        <rFont val="Arial Narrow"/>
        <family val="2"/>
      </rPr>
      <t xml:space="preserve"> from physical and psychosocial harm during and after the investigation? Was the perpetrator (if staff suspended, if resident supervised to prevent other resident contact) removed from potential resident contact?</t>
    </r>
  </si>
  <si>
    <t>8) Comments:</t>
  </si>
  <si>
    <r>
      <rPr>
        <b/>
        <sz val="10"/>
        <color theme="1"/>
        <rFont val="Arial Narrow"/>
        <family val="2"/>
      </rPr>
      <t>9)</t>
    </r>
    <r>
      <rPr>
        <sz val="10"/>
        <color theme="1"/>
        <rFont val="Arial Narrow"/>
        <family val="2"/>
      </rPr>
      <t xml:space="preserve"> Was the </t>
    </r>
    <r>
      <rPr>
        <b/>
        <sz val="10"/>
        <color theme="1"/>
        <rFont val="Arial Narrow"/>
        <family val="2"/>
      </rPr>
      <t>notification</t>
    </r>
    <r>
      <rPr>
        <sz val="10"/>
        <color theme="1"/>
        <rFont val="Arial Narrow"/>
        <family val="2"/>
      </rPr>
      <t xml:space="preserve"> made to the physician/extender and resident advocate, documented in the medical record?</t>
    </r>
  </si>
  <si>
    <t>9) Comments:</t>
  </si>
  <si>
    <r>
      <rPr>
        <b/>
        <sz val="10"/>
        <color theme="1"/>
        <rFont val="Arial Narrow"/>
        <family val="2"/>
      </rPr>
      <t>10)</t>
    </r>
    <r>
      <rPr>
        <sz val="10"/>
        <color theme="1"/>
        <rFont val="Arial Narrow"/>
        <family val="2"/>
      </rPr>
      <t xml:space="preserve"> Was </t>
    </r>
    <r>
      <rPr>
        <b/>
        <sz val="10"/>
        <color theme="1"/>
        <rFont val="Arial Narrow"/>
        <family val="2"/>
      </rPr>
      <t>appropriate follow-up</t>
    </r>
    <r>
      <rPr>
        <sz val="10"/>
        <color theme="1"/>
        <rFont val="Arial Narrow"/>
        <family val="2"/>
      </rPr>
      <t xml:space="preserve"> made based upon RCA to prevent potential future abuse and improve care? Was a reasonable person standard applied? Was the care plan revised based upon RCA? Were applicable areas reviewed to include staff re-education, written disciplinary action, suspension, termination?
</t>
    </r>
  </si>
  <si>
    <t>10) Comments:</t>
  </si>
  <si>
    <t>Score Key:                                                     Met = 10 | Not Met = 0 | N/A</t>
  </si>
  <si>
    <r>
      <t xml:space="preserve">Observation Directions: </t>
    </r>
    <r>
      <rPr>
        <sz val="12"/>
        <color theme="1"/>
        <rFont val="Arial Narrow"/>
        <family val="2"/>
      </rPr>
      <t>Score the facility as a whole. If not applicable, select "N/A'.</t>
    </r>
  </si>
  <si>
    <r>
      <t xml:space="preserve">11) </t>
    </r>
    <r>
      <rPr>
        <sz val="10"/>
        <color theme="1"/>
        <rFont val="Arial Narrow"/>
        <family val="2"/>
      </rPr>
      <t xml:space="preserve">Are abuse prevention </t>
    </r>
    <r>
      <rPr>
        <b/>
        <sz val="10"/>
        <color theme="1"/>
        <rFont val="Arial Narrow"/>
        <family val="2"/>
      </rPr>
      <t>posters</t>
    </r>
    <r>
      <rPr>
        <sz val="10"/>
        <color theme="1"/>
        <rFont val="Arial Narrow"/>
        <family val="2"/>
      </rPr>
      <t xml:space="preserve"> at visual height for wheel chairs? Did posters include Better Together, Elder Abuse, Integrity, PAIMI, QAPI, Recognition &amp; Grievance, Resident Rights, State Survey Oversight Agencies? </t>
    </r>
  </si>
  <si>
    <t>11) Comments:</t>
  </si>
  <si>
    <r>
      <t>12)</t>
    </r>
    <r>
      <rPr>
        <sz val="10"/>
        <color theme="1"/>
        <rFont val="Arial Narrow"/>
        <family val="2"/>
      </rPr>
      <t xml:space="preserve"> Are care givers and nurses current (not expired) with </t>
    </r>
    <r>
      <rPr>
        <b/>
        <sz val="10"/>
        <color theme="1"/>
        <rFont val="Arial Narrow"/>
        <family val="2"/>
      </rPr>
      <t>licensure</t>
    </r>
    <r>
      <rPr>
        <sz val="10"/>
        <color theme="1"/>
        <rFont val="Arial Narrow"/>
        <family val="2"/>
      </rPr>
      <t>? Have NAs received certification prior to 120 days of employment?</t>
    </r>
  </si>
  <si>
    <t>12) Comments:</t>
  </si>
  <si>
    <r>
      <rPr>
        <b/>
        <sz val="10"/>
        <color theme="1"/>
        <rFont val="Arial Narrow"/>
        <family val="2"/>
      </rPr>
      <t>13)</t>
    </r>
    <r>
      <rPr>
        <sz val="10"/>
        <color theme="1"/>
        <rFont val="Arial Narrow"/>
        <family val="2"/>
      </rPr>
      <t xml:space="preserve"> Do new hires have timely</t>
    </r>
    <r>
      <rPr>
        <b/>
        <sz val="10"/>
        <color theme="1"/>
        <rFont val="Arial Narrow"/>
        <family val="2"/>
      </rPr>
      <t xml:space="preserve"> background checks</t>
    </r>
    <r>
      <rPr>
        <sz val="10"/>
        <color theme="1"/>
        <rFont val="Arial Narrow"/>
        <family val="2"/>
      </rPr>
      <t>? If working with residents prior to results returned, are staff aware of which new hires require additional supervision and should not be left unattended with a resident?</t>
    </r>
  </si>
  <si>
    <t>13) Comments:</t>
  </si>
  <si>
    <r>
      <rPr>
        <b/>
        <sz val="10"/>
        <color theme="1"/>
        <rFont val="Arial Narrow"/>
        <family val="2"/>
      </rPr>
      <t>14)</t>
    </r>
    <r>
      <rPr>
        <sz val="10"/>
        <color theme="1"/>
        <rFont val="Arial Narrow"/>
        <family val="2"/>
      </rPr>
      <t xml:space="preserve"> Are abuse and significant events tracked and trended through </t>
    </r>
    <r>
      <rPr>
        <b/>
        <sz val="10"/>
        <color theme="1"/>
        <rFont val="Arial Narrow"/>
        <family val="2"/>
      </rPr>
      <t>QAPI</t>
    </r>
    <r>
      <rPr>
        <sz val="10"/>
        <color theme="1"/>
        <rFont val="Arial Narrow"/>
        <family val="2"/>
      </rPr>
      <t>?</t>
    </r>
  </si>
  <si>
    <t>14) Comments:</t>
  </si>
  <si>
    <r>
      <t xml:space="preserve">15) </t>
    </r>
    <r>
      <rPr>
        <sz val="10"/>
        <color theme="1"/>
        <rFont val="Arial Narrow"/>
        <family val="2"/>
      </rPr>
      <t>Run training report,</t>
    </r>
    <r>
      <rPr>
        <b/>
        <sz val="10"/>
        <color theme="1"/>
        <rFont val="Arial Narrow"/>
        <family val="2"/>
      </rPr>
      <t xml:space="preserve"> </t>
    </r>
    <r>
      <rPr>
        <sz val="10"/>
        <color theme="1"/>
        <rFont val="Arial Narrow"/>
        <family val="2"/>
      </rPr>
      <t>are</t>
    </r>
    <r>
      <rPr>
        <b/>
        <sz val="10"/>
        <color theme="1"/>
        <rFont val="Arial Narrow"/>
        <family val="2"/>
      </rPr>
      <t xml:space="preserve"> staff educated</t>
    </r>
    <r>
      <rPr>
        <sz val="10"/>
        <color theme="1"/>
        <rFont val="Arial Narrow"/>
        <family val="2"/>
      </rPr>
      <t xml:space="preserve"> to Abuse Prevention on hire, at least annually, and with abuse investigation findings?</t>
    </r>
  </si>
  <si>
    <t>15) Comments:</t>
  </si>
  <si>
    <t>Abuse &amp; Grievances Total Possible Points:</t>
  </si>
  <si>
    <t>Total Score:</t>
  </si>
  <si>
    <t>Employee Name:</t>
  </si>
  <si>
    <t>Is Follow-Up Needed? Yes/No</t>
  </si>
  <si>
    <t>Title:</t>
  </si>
  <si>
    <t>Staff Interviews:</t>
  </si>
  <si>
    <r>
      <t xml:space="preserve">Directions: </t>
    </r>
    <r>
      <rPr>
        <sz val="12"/>
        <color theme="1"/>
        <rFont val="Arial Narrow"/>
        <family val="2"/>
      </rPr>
      <t>Interview three staff members, documenting answers and noting if follow-up education is needed.</t>
    </r>
  </si>
  <si>
    <r>
      <t xml:space="preserve">1) </t>
    </r>
    <r>
      <rPr>
        <sz val="10"/>
        <color theme="1"/>
        <rFont val="Arial Narrow"/>
        <family val="2"/>
      </rPr>
      <t>Who is the facility abuse prevention coordinator?</t>
    </r>
    <r>
      <rPr>
        <b/>
        <sz val="10"/>
        <color theme="1"/>
        <rFont val="Arial Narrow"/>
        <family val="2"/>
      </rPr>
      <t xml:space="preserve"> </t>
    </r>
    <r>
      <rPr>
        <sz val="10"/>
        <color theme="1"/>
        <rFont val="Arial Narrow"/>
        <family val="2"/>
      </rPr>
      <t>Who are mandatory reporters?</t>
    </r>
  </si>
  <si>
    <r>
      <t xml:space="preserve">2) </t>
    </r>
    <r>
      <rPr>
        <sz val="10"/>
        <color theme="1"/>
        <rFont val="Arial Narrow"/>
        <family val="2"/>
      </rPr>
      <t>Who can be the perpetrator of abuse? What do you do if you hear of or see abuse?</t>
    </r>
  </si>
  <si>
    <r>
      <t xml:space="preserve">3) </t>
    </r>
    <r>
      <rPr>
        <sz val="10"/>
        <color theme="1"/>
        <rFont val="Arial Narrow"/>
        <family val="2"/>
      </rPr>
      <t>List some signs of potentential abuse?</t>
    </r>
  </si>
  <si>
    <r>
      <t xml:space="preserve">4) </t>
    </r>
    <r>
      <rPr>
        <sz val="10"/>
        <color theme="1"/>
        <rFont val="Arial Narrow"/>
        <family val="2"/>
      </rPr>
      <t>What is your role in the management of aggressive residents to include verbal altercations, bullying, intrusive wandering? Should you document potential behavioral conflicts where you intervened, and no negative outcome was immediately evident?</t>
    </r>
  </si>
  <si>
    <r>
      <t xml:space="preserve">5) </t>
    </r>
    <r>
      <rPr>
        <sz val="10"/>
        <color theme="1"/>
        <rFont val="Arial Narrow"/>
        <family val="2"/>
      </rPr>
      <t>Use a case scenerio for abuse to determine if staff respond appropriately.</t>
    </r>
  </si>
  <si>
    <r>
      <t xml:space="preserve">Key Element Validation:                  </t>
    </r>
    <r>
      <rPr>
        <b/>
        <i/>
        <sz val="14"/>
        <color theme="1"/>
        <rFont val="Arial Narrow"/>
        <family val="2"/>
      </rPr>
      <t>Accidents &amp; Incidents</t>
    </r>
  </si>
  <si>
    <t>Event Type:</t>
  </si>
  <si>
    <r>
      <t xml:space="preserve">Record Review Directions: </t>
    </r>
    <r>
      <rPr>
        <sz val="11"/>
        <color theme="1"/>
        <rFont val="Arial Narrow"/>
        <family val="2"/>
      </rPr>
      <t>Briefly describe the incident in the comments box and select most appropriate score using drop downs. Add dates if a repeat fall.</t>
    </r>
    <r>
      <rPr>
        <sz val="12"/>
        <color theme="1"/>
        <rFont val="Arial Narrow"/>
        <family val="2"/>
      </rPr>
      <t xml:space="preserve"> If not applicable, select "N/A".</t>
    </r>
  </si>
  <si>
    <r>
      <rPr>
        <b/>
        <sz val="10"/>
        <color theme="1"/>
        <rFont val="Arial Narrow"/>
        <family val="2"/>
      </rPr>
      <t>1)</t>
    </r>
    <r>
      <rPr>
        <sz val="10"/>
        <color theme="1"/>
        <rFont val="Arial Narrow"/>
        <family val="2"/>
      </rPr>
      <t xml:space="preserve"> Was</t>
    </r>
    <r>
      <rPr>
        <b/>
        <sz val="10"/>
        <color theme="1"/>
        <rFont val="Arial Narrow"/>
        <family val="2"/>
      </rPr>
      <t xml:space="preserve"> event trackin</t>
    </r>
    <r>
      <rPr>
        <sz val="10"/>
        <color theme="1"/>
        <rFont val="Arial Narrow"/>
        <family val="2"/>
      </rPr>
      <t xml:space="preserve">g managed? Were applicable areas reviewed to include immediate log of incident (WA/OR), entered into risk mgmt, reported if indicated, completed and signed by CEO within 5 working days?
</t>
    </r>
  </si>
  <si>
    <r>
      <rPr>
        <b/>
        <sz val="10"/>
        <color theme="1"/>
        <rFont val="Arial Narrow"/>
        <family val="2"/>
      </rPr>
      <t>2)</t>
    </r>
    <r>
      <rPr>
        <sz val="10"/>
        <color theme="1"/>
        <rFont val="Arial Narrow"/>
        <family val="2"/>
      </rPr>
      <t xml:space="preserve"> Was</t>
    </r>
    <r>
      <rPr>
        <b/>
        <sz val="10"/>
        <color theme="1"/>
        <rFont val="Arial Narrow"/>
        <family val="2"/>
      </rPr>
      <t xml:space="preserve"> risk anticipated</t>
    </r>
    <r>
      <rPr>
        <sz val="10"/>
        <color theme="1"/>
        <rFont val="Arial Narrow"/>
        <family val="2"/>
      </rPr>
      <t xml:space="preserve">? Was the care plan implemented prior to the incident? Were applicable areas reviewed to include MAHC-10 eval, smoking eval, wander risk, 48-hour care plan addresses risk and safety, type of supervision determined, plan is effective for BIMs score, behavioral impact is reviewed? 
</t>
    </r>
  </si>
  <si>
    <r>
      <rPr>
        <b/>
        <sz val="10"/>
        <color theme="1"/>
        <rFont val="Arial Narrow"/>
        <family val="2"/>
      </rPr>
      <t>3)</t>
    </r>
    <r>
      <rPr>
        <sz val="10"/>
        <color theme="1"/>
        <rFont val="Arial Narrow"/>
        <family val="2"/>
      </rPr>
      <t xml:space="preserve"> Was the </t>
    </r>
    <r>
      <rPr>
        <b/>
        <sz val="10"/>
        <color theme="1"/>
        <rFont val="Arial Narrow"/>
        <family val="2"/>
      </rPr>
      <t>immediate assess</t>
    </r>
    <r>
      <rPr>
        <sz val="10"/>
        <color theme="1"/>
        <rFont val="Arial Narrow"/>
        <family val="2"/>
      </rPr>
      <t>/post fall eval completed timely? Were applicable areas reviewed to include ROM, BG check, neuro's, full skin check, pain, if there was a physical injury was an tx order received?</t>
    </r>
  </si>
  <si>
    <r>
      <rPr>
        <b/>
        <sz val="10"/>
        <color theme="1"/>
        <rFont val="Arial Narrow"/>
        <family val="2"/>
      </rPr>
      <t>4)</t>
    </r>
    <r>
      <rPr>
        <sz val="10"/>
        <color theme="1"/>
        <rFont val="Arial Narrow"/>
        <family val="2"/>
      </rPr>
      <t xml:space="preserve"> Were </t>
    </r>
    <r>
      <rPr>
        <b/>
        <sz val="10"/>
        <color theme="1"/>
        <rFont val="Arial Narrow"/>
        <family val="2"/>
      </rPr>
      <t>additional applicable evals</t>
    </r>
    <r>
      <rPr>
        <sz val="10"/>
        <color theme="1"/>
        <rFont val="Arial Narrow"/>
        <family val="2"/>
      </rPr>
      <t xml:space="preserve"> completed? MAHC-10, Pain, Wander Risk, Braden, device eval?</t>
    </r>
  </si>
  <si>
    <r>
      <rPr>
        <b/>
        <sz val="10"/>
        <color theme="1"/>
        <rFont val="Arial Narrow"/>
        <family val="2"/>
      </rPr>
      <t>5)</t>
    </r>
    <r>
      <rPr>
        <sz val="10"/>
        <color theme="1"/>
        <rFont val="Arial Narrow"/>
        <family val="2"/>
      </rPr>
      <t xml:space="preserve"> Was </t>
    </r>
    <r>
      <rPr>
        <b/>
        <sz val="10"/>
        <color theme="1"/>
        <rFont val="Arial Narrow"/>
        <family val="2"/>
      </rPr>
      <t>alert charting</t>
    </r>
    <r>
      <rPr>
        <sz val="10"/>
        <color theme="1"/>
        <rFont val="Arial Narrow"/>
        <family val="2"/>
      </rPr>
      <t xml:space="preserve"> established with a quality progress note written each shift for 72 hours to address potential latent injury, response to treatment, effectiveness of care plan updates?</t>
    </r>
  </si>
  <si>
    <r>
      <rPr>
        <b/>
        <sz val="10"/>
        <color theme="1"/>
        <rFont val="Arial Narrow"/>
        <family val="2"/>
      </rPr>
      <t>6)</t>
    </r>
    <r>
      <rPr>
        <sz val="10"/>
        <color theme="1"/>
        <rFont val="Arial Narrow"/>
        <family val="2"/>
      </rPr>
      <t xml:space="preserve"> Was the resident advocate</t>
    </r>
    <r>
      <rPr>
        <b/>
        <sz val="10"/>
        <color theme="1"/>
        <rFont val="Arial Narrow"/>
        <family val="2"/>
      </rPr>
      <t xml:space="preserve"> notified</t>
    </r>
    <r>
      <rPr>
        <sz val="10"/>
        <color theme="1"/>
        <rFont val="Arial Narrow"/>
        <family val="2"/>
      </rPr>
      <t>? Was the physician notified timely? Was a physician response received if indicated? Was the pharmacist notified?</t>
    </r>
  </si>
  <si>
    <r>
      <rPr>
        <b/>
        <sz val="10"/>
        <color theme="1"/>
        <rFont val="Arial Narrow"/>
        <family val="2"/>
      </rPr>
      <t xml:space="preserve">7) </t>
    </r>
    <r>
      <rPr>
        <sz val="10"/>
        <color theme="1"/>
        <rFont val="Arial Narrow"/>
        <family val="2"/>
      </rPr>
      <t xml:space="preserve">Was there a </t>
    </r>
    <r>
      <rPr>
        <b/>
        <sz val="10"/>
        <color theme="1"/>
        <rFont val="Arial Narrow"/>
        <family val="2"/>
      </rPr>
      <t>clinical review</t>
    </r>
    <r>
      <rPr>
        <sz val="10"/>
        <color theme="1"/>
        <rFont val="Arial Narrow"/>
        <family val="2"/>
      </rPr>
      <t xml:space="preserve"> of resident condition? Were applicable areas reviewed to include labs, infection, BG, BP/Pulse, oxygen sats, psyc rx, new rx/dx, social needs, behaviors, change of cond?</t>
    </r>
  </si>
  <si>
    <r>
      <rPr>
        <b/>
        <sz val="10"/>
        <color theme="1"/>
        <rFont val="Arial Narrow"/>
        <family val="2"/>
      </rPr>
      <t xml:space="preserve">8) </t>
    </r>
    <r>
      <rPr>
        <sz val="10"/>
        <color theme="1"/>
        <rFont val="Arial Narrow"/>
        <family val="2"/>
      </rPr>
      <t xml:space="preserve">Was the </t>
    </r>
    <r>
      <rPr>
        <b/>
        <sz val="10"/>
        <color theme="1"/>
        <rFont val="Arial Narrow"/>
        <family val="2"/>
      </rPr>
      <t>incident reviewed</t>
    </r>
    <r>
      <rPr>
        <sz val="10"/>
        <color theme="1"/>
        <rFont val="Arial Narrow"/>
        <family val="2"/>
      </rPr>
      <t xml:space="preserve"> with the IDT on the next business day? Was there a through investigation completed? Were applicable areas reviewed to include post fall huddle, signed interviews, reenactment, IDT environmental rounds? Was abuse ruled out?</t>
    </r>
  </si>
  <si>
    <r>
      <rPr>
        <b/>
        <sz val="10"/>
        <color theme="1"/>
        <rFont val="Arial Narrow"/>
        <family val="2"/>
      </rPr>
      <t>9)</t>
    </r>
    <r>
      <rPr>
        <sz val="10"/>
        <color theme="1"/>
        <rFont val="Arial Narrow"/>
        <family val="2"/>
      </rPr>
      <t xml:space="preserve"> Was a </t>
    </r>
    <r>
      <rPr>
        <b/>
        <sz val="10"/>
        <color theme="1"/>
        <rFont val="Arial Narrow"/>
        <family val="2"/>
      </rPr>
      <t>RCA</t>
    </r>
    <r>
      <rPr>
        <sz val="10"/>
        <color theme="1"/>
        <rFont val="Arial Narrow"/>
        <family val="2"/>
      </rPr>
      <t xml:space="preserve"> completed? Is the RCA feasible?</t>
    </r>
  </si>
  <si>
    <r>
      <rPr>
        <b/>
        <sz val="10"/>
        <color theme="1"/>
        <rFont val="Arial Narrow"/>
        <family val="2"/>
      </rPr>
      <t>10)</t>
    </r>
    <r>
      <rPr>
        <sz val="10"/>
        <color theme="1"/>
        <rFont val="Arial Narrow"/>
        <family val="2"/>
      </rPr>
      <t xml:space="preserve"> Was the </t>
    </r>
    <r>
      <rPr>
        <b/>
        <sz val="10"/>
        <color theme="1"/>
        <rFont val="Arial Narrow"/>
        <family val="2"/>
      </rPr>
      <t>care plan</t>
    </r>
    <r>
      <rPr>
        <sz val="10"/>
        <color theme="1"/>
        <rFont val="Arial Narrow"/>
        <family val="2"/>
      </rPr>
      <t xml:space="preserve"> updated based upon the RCA? Were applicable areas reviewed to include focus, measurable goal, person-centered approaches, kardex update, communication board updated with highlight for POC staff, device is placed if indicated with consent, if repeat incident the plan is adjusted?</t>
    </r>
  </si>
  <si>
    <r>
      <rPr>
        <b/>
        <sz val="10"/>
        <color theme="1"/>
        <rFont val="Arial Narrow"/>
        <family val="2"/>
      </rPr>
      <t>11)</t>
    </r>
    <r>
      <rPr>
        <sz val="10"/>
        <color theme="1"/>
        <rFont val="Arial Narrow"/>
        <family val="2"/>
      </rPr>
      <t xml:space="preserve"> Is the previous </t>
    </r>
    <r>
      <rPr>
        <b/>
        <sz val="10"/>
        <color theme="1"/>
        <rFont val="Arial Narrow"/>
        <family val="2"/>
      </rPr>
      <t>MDS</t>
    </r>
    <r>
      <rPr>
        <sz val="10"/>
        <color theme="1"/>
        <rFont val="Arial Narrow"/>
        <family val="2"/>
      </rPr>
      <t xml:space="preserve"> coded accurately for the risk/incident? Is the CAA detailed? Is a sig chng completed if indicated?</t>
    </r>
  </si>
  <si>
    <r>
      <rPr>
        <b/>
        <sz val="10"/>
        <color theme="1"/>
        <rFont val="Arial Narrow"/>
        <family val="2"/>
      </rPr>
      <t>12)</t>
    </r>
    <r>
      <rPr>
        <sz val="10"/>
        <color theme="1"/>
        <rFont val="Arial Narrow"/>
        <family val="2"/>
      </rPr>
      <t xml:space="preserve"> Were </t>
    </r>
    <r>
      <rPr>
        <b/>
        <sz val="10"/>
        <color theme="1"/>
        <rFont val="Arial Narrow"/>
        <family val="2"/>
      </rPr>
      <t>additional referrals</t>
    </r>
    <r>
      <rPr>
        <sz val="10"/>
        <color theme="1"/>
        <rFont val="Arial Narrow"/>
        <family val="2"/>
      </rPr>
      <t xml:space="preserve"> made if incidated? PT, OT, SLP, restorative, RT, pharmacy, increased supervision, 1:1, behav/psyc?</t>
    </r>
  </si>
  <si>
    <r>
      <rPr>
        <b/>
        <sz val="10"/>
        <color theme="1"/>
        <rFont val="Arial Narrow"/>
        <family val="2"/>
      </rPr>
      <t xml:space="preserve">13) </t>
    </r>
    <r>
      <rPr>
        <sz val="10"/>
        <color theme="1"/>
        <rFont val="Arial Narrow"/>
        <family val="2"/>
      </rPr>
      <t>Was</t>
    </r>
    <r>
      <rPr>
        <b/>
        <sz val="10"/>
        <color theme="1"/>
        <rFont val="Arial Narrow"/>
        <family val="2"/>
      </rPr>
      <t xml:space="preserve"> documented monitoring</t>
    </r>
    <r>
      <rPr>
        <sz val="10"/>
        <color theme="1"/>
        <rFont val="Arial Narrow"/>
        <family val="2"/>
      </rPr>
      <t xml:space="preserve"> establish for increased supervision, device use if indicated, 30 min checks, autolock brakes, anti-tilt bars, alarms, wander guard bracelet, busy apron?</t>
    </r>
  </si>
  <si>
    <r>
      <rPr>
        <b/>
        <sz val="10"/>
        <color theme="1"/>
        <rFont val="Arial Narrow"/>
        <family val="2"/>
      </rPr>
      <t>14)</t>
    </r>
    <r>
      <rPr>
        <sz val="10"/>
        <color theme="1"/>
        <rFont val="Arial Narrow"/>
        <family val="2"/>
      </rPr>
      <t xml:space="preserve"> During the investigation, when there is a </t>
    </r>
    <r>
      <rPr>
        <b/>
        <sz val="10"/>
        <color theme="1"/>
        <rFont val="Arial Narrow"/>
        <family val="2"/>
      </rPr>
      <t>conflict in data</t>
    </r>
    <r>
      <rPr>
        <sz val="10"/>
        <color theme="1"/>
        <rFont val="Arial Narrow"/>
        <family val="2"/>
      </rPr>
      <t xml:space="preserve">, was resolution documented? Were there patterns identified that may impact other residents? </t>
    </r>
  </si>
  <si>
    <r>
      <rPr>
        <b/>
        <sz val="10"/>
        <color theme="1"/>
        <rFont val="Arial Narrow"/>
        <family val="2"/>
      </rPr>
      <t xml:space="preserve">15) </t>
    </r>
    <r>
      <rPr>
        <sz val="10"/>
        <color theme="1"/>
        <rFont val="Arial Narrow"/>
        <family val="2"/>
      </rPr>
      <t xml:space="preserve">Does weekly </t>
    </r>
    <r>
      <rPr>
        <b/>
        <sz val="10"/>
        <color theme="1"/>
        <rFont val="Arial Narrow"/>
        <family val="2"/>
      </rPr>
      <t>oversight committee</t>
    </r>
    <r>
      <rPr>
        <sz val="10"/>
        <color theme="1"/>
        <rFont val="Arial Narrow"/>
        <family val="2"/>
      </rPr>
      <t xml:space="preserve"> show evidence of IDT review 1st business day post fall? Feasible RCA was used as the base for care plan updates? Referrals made as indicated? Review of fall risk report for new residents, residents w/change of condition, new falls, repeat falls for fall prevention plans/opportunities?
</t>
    </r>
  </si>
  <si>
    <r>
      <rPr>
        <b/>
        <sz val="10"/>
        <color theme="1"/>
        <rFont val="Arial Narrow"/>
        <family val="2"/>
      </rPr>
      <t>16)</t>
    </r>
    <r>
      <rPr>
        <sz val="10"/>
        <color theme="1"/>
        <rFont val="Arial Narrow"/>
        <family val="2"/>
      </rPr>
      <t xml:space="preserve"> Observe residents in the </t>
    </r>
    <r>
      <rPr>
        <b/>
        <sz val="10"/>
        <color theme="1"/>
        <rFont val="Arial Narrow"/>
        <family val="2"/>
      </rPr>
      <t>smoking</t>
    </r>
    <r>
      <rPr>
        <sz val="10"/>
        <color theme="1"/>
        <rFont val="Arial Narrow"/>
        <family val="2"/>
      </rPr>
      <t xml:space="preserve"> area, as well as on the front sidewalk. Is a smoking eval current? Is there oxygen within 100 feet? Do residents hold their cigs/devices safely, extinquish properly, wear a safety apron if indicated, have burns in clothing? Where is smoking paraphenalia stored? Does the resident take items back to their room?</t>
    </r>
  </si>
  <si>
    <t>16) Comments:</t>
  </si>
  <si>
    <r>
      <rPr>
        <b/>
        <sz val="10"/>
        <color theme="1"/>
        <rFont val="Arial Narrow"/>
        <family val="2"/>
      </rPr>
      <t xml:space="preserve">17) </t>
    </r>
    <r>
      <rPr>
        <sz val="10"/>
        <color theme="1"/>
        <rFont val="Arial Narrow"/>
        <family val="2"/>
      </rPr>
      <t xml:space="preserve">For residents with </t>
    </r>
    <r>
      <rPr>
        <b/>
        <sz val="10"/>
        <color theme="1"/>
        <rFont val="Arial Narrow"/>
        <family val="2"/>
      </rPr>
      <t>res to res</t>
    </r>
    <r>
      <rPr>
        <sz val="10"/>
        <color theme="1"/>
        <rFont val="Arial Narrow"/>
        <family val="2"/>
      </rPr>
      <t xml:space="preserve"> altercations, how do staff respond to anger, yelling, target behavior, inappropriate contact/language, pushing, shoving, striking out? Are care plan interventions implemented consistently? Are they effective?</t>
    </r>
  </si>
  <si>
    <t>17) Comments:</t>
  </si>
  <si>
    <r>
      <rPr>
        <b/>
        <sz val="10"/>
        <color theme="1"/>
        <rFont val="Arial Narrow"/>
        <family val="2"/>
      </rPr>
      <t>18)</t>
    </r>
    <r>
      <rPr>
        <sz val="10"/>
        <color theme="1"/>
        <rFont val="Arial Narrow"/>
        <family val="2"/>
      </rPr>
      <t xml:space="preserve"> For residents reviewed for </t>
    </r>
    <r>
      <rPr>
        <b/>
        <sz val="10"/>
        <color theme="1"/>
        <rFont val="Arial Narrow"/>
        <family val="2"/>
      </rPr>
      <t>falls</t>
    </r>
    <r>
      <rPr>
        <sz val="10"/>
        <color theme="1"/>
        <rFont val="Arial Narrow"/>
        <family val="2"/>
      </rPr>
      <t>, are care plan interventions consistently implemented? Are they effective? Was the plan reassessed for effectiveness and documented? Was the plan adjusted if indicated?</t>
    </r>
  </si>
  <si>
    <t>18) Comments:</t>
  </si>
  <si>
    <r>
      <rPr>
        <b/>
        <sz val="10"/>
        <color theme="1"/>
        <rFont val="Arial Narrow"/>
        <family val="2"/>
      </rPr>
      <t>19)</t>
    </r>
    <r>
      <rPr>
        <sz val="10"/>
        <color theme="1"/>
        <rFont val="Arial Narrow"/>
        <family val="2"/>
      </rPr>
      <t xml:space="preserve"> For </t>
    </r>
    <r>
      <rPr>
        <b/>
        <sz val="10"/>
        <color theme="1"/>
        <rFont val="Arial Narrow"/>
        <family val="2"/>
      </rPr>
      <t>wandering/exit seeking</t>
    </r>
    <r>
      <rPr>
        <sz val="10"/>
        <color theme="1"/>
        <rFont val="Arial Narrow"/>
        <family val="2"/>
      </rPr>
      <t xml:space="preserve"> residents, how do staff supervise/respond to a resident with exit seeking, rummaging, wandering behaviors? Are care plan interventions implemented consistently? Are they effective?</t>
    </r>
  </si>
  <si>
    <t>19) Comments:</t>
  </si>
  <si>
    <r>
      <t xml:space="preserve">20) If </t>
    </r>
    <r>
      <rPr>
        <b/>
        <sz val="10"/>
        <color theme="1"/>
        <rFont val="Arial Narrow"/>
        <family val="2"/>
      </rPr>
      <t>safety devices</t>
    </r>
    <r>
      <rPr>
        <sz val="10"/>
        <color theme="1"/>
        <rFont val="Arial Narrow"/>
        <family val="2"/>
      </rPr>
      <t xml:space="preserve"> are utilized, are they implemented according to manufacturer's instructions? Does the resident utilize independently? Are there gaps for potential entrapment? Can the resident release upon request? How often do the staff assist resident?</t>
    </r>
  </si>
  <si>
    <t>20) Comments:</t>
  </si>
  <si>
    <t>Accidents &amp; Safety Total Possible Points:</t>
  </si>
  <si>
    <r>
      <rPr>
        <b/>
        <sz val="10"/>
        <color theme="1"/>
        <rFont val="Arial Narrow"/>
        <family val="2"/>
      </rPr>
      <t xml:space="preserve">1) </t>
    </r>
    <r>
      <rPr>
        <sz val="10"/>
        <color theme="1"/>
        <rFont val="Arial Narrow"/>
        <family val="2"/>
      </rPr>
      <t>How do you know what interventions or assistance is needed for each resident?</t>
    </r>
  </si>
  <si>
    <r>
      <rPr>
        <b/>
        <sz val="10"/>
        <color theme="1"/>
        <rFont val="Arial Narrow"/>
        <family val="2"/>
      </rPr>
      <t xml:space="preserve">2) </t>
    </r>
    <r>
      <rPr>
        <sz val="10"/>
        <color theme="1"/>
        <rFont val="Arial Narrow"/>
        <family val="2"/>
      </rPr>
      <t>How do you know if there are current changes to the plan of care?</t>
    </r>
  </si>
  <si>
    <r>
      <rPr>
        <b/>
        <sz val="10"/>
        <color theme="1"/>
        <rFont val="Arial Narrow"/>
        <family val="2"/>
      </rPr>
      <t xml:space="preserve">3) </t>
    </r>
    <r>
      <rPr>
        <sz val="10"/>
        <color theme="1"/>
        <rFont val="Arial Narrow"/>
        <family val="2"/>
      </rPr>
      <t>What do you do if a resident refuses care or is a safety risk?</t>
    </r>
  </si>
  <si>
    <r>
      <rPr>
        <b/>
        <sz val="10"/>
        <color theme="1"/>
        <rFont val="Arial Narrow"/>
        <family val="2"/>
      </rPr>
      <t xml:space="preserve">4) </t>
    </r>
    <r>
      <rPr>
        <sz val="10"/>
        <color theme="1"/>
        <rFont val="Arial Narrow"/>
        <family val="2"/>
      </rPr>
      <t>Is the resident involved in the development of their plan of care? Have you been included in the care plan development?</t>
    </r>
  </si>
  <si>
    <r>
      <rPr>
        <b/>
        <sz val="10"/>
        <color theme="1"/>
        <rFont val="Arial Narrow"/>
        <family val="2"/>
      </rPr>
      <t xml:space="preserve">5) </t>
    </r>
    <r>
      <rPr>
        <sz val="10"/>
        <color theme="1"/>
        <rFont val="Arial Narrow"/>
        <family val="2"/>
      </rPr>
      <t>What are some risk factors for the resident?</t>
    </r>
  </si>
  <si>
    <t>2/17/215 Amy Abraham</t>
  </si>
  <si>
    <r>
      <t xml:space="preserve">Key Element Validation:                           </t>
    </r>
    <r>
      <rPr>
        <b/>
        <i/>
        <sz val="14"/>
        <color theme="1"/>
        <rFont val="Arial Narrow"/>
        <family val="2"/>
      </rPr>
      <t>Infection Prevention &amp; Control</t>
    </r>
  </si>
  <si>
    <t>Patricia Worrell- macrobid UTI 5 days 2/16/25</t>
  </si>
  <si>
    <t>Pamela Malkin - Bactrim and Keflex for cellulitis</t>
  </si>
  <si>
    <t>Craig Clark Keflex r ear pustule 2/12 x 22 administrations</t>
  </si>
  <si>
    <t>1 106-W</t>
  </si>
  <si>
    <t>1- 113-W</t>
  </si>
  <si>
    <t>2 209-W</t>
  </si>
  <si>
    <t>Active Infection</t>
  </si>
  <si>
    <t>PrecautionType:</t>
  </si>
  <si>
    <t>Standard</t>
  </si>
  <si>
    <t>EBP</t>
  </si>
  <si>
    <t>Score Key:                                                                     Met = 4 or 3 | Not Met = 0 | N/A</t>
  </si>
  <si>
    <r>
      <t xml:space="preserve">Record Review Directions: </t>
    </r>
    <r>
      <rPr>
        <sz val="11"/>
        <color theme="1"/>
        <rFont val="Arial Narrow"/>
        <family val="2"/>
      </rPr>
      <t xml:space="preserve">Briefly describe the incident in the comments box and select most appropriate score using drop downs. </t>
    </r>
    <r>
      <rPr>
        <sz val="12"/>
        <color theme="1"/>
        <rFont val="Arial Narrow"/>
        <family val="2"/>
      </rPr>
      <t>If not applicable, select "N/A".</t>
    </r>
  </si>
  <si>
    <r>
      <rPr>
        <b/>
        <sz val="10"/>
        <color theme="1"/>
        <rFont val="Arial Narrow"/>
        <family val="2"/>
      </rPr>
      <t>1)</t>
    </r>
    <r>
      <rPr>
        <sz val="10"/>
        <color theme="1"/>
        <rFont val="Arial Narrow"/>
        <family val="2"/>
      </rPr>
      <t xml:space="preserve"> Are resident </t>
    </r>
    <r>
      <rPr>
        <b/>
        <sz val="10"/>
        <color theme="1"/>
        <rFont val="Arial Narrow"/>
        <family val="2"/>
      </rPr>
      <t>immunizations</t>
    </r>
    <r>
      <rPr>
        <sz val="10"/>
        <color theme="1"/>
        <rFont val="Arial Narrow"/>
        <family val="2"/>
      </rPr>
      <t xml:space="preserve"> current and/or offered with evidence documented of risk and benefit education if refused? Were applicable areas reviewed to include influenza, pneumococcal, COVID-19, RSV, and others as indicated?
</t>
    </r>
  </si>
  <si>
    <t>0</t>
  </si>
  <si>
    <t>3</t>
  </si>
  <si>
    <t>Appears has been offered all. The PNA vaccine offerings are a little confusing. The consent scanned in shows VIS provided but does not indicate which vaccines were declined- only the accepted. In the pcc module- education completed is not being checked.</t>
  </si>
  <si>
    <t>All documented in immunization tab except flu- flu is noted declined in documents</t>
  </si>
  <si>
    <r>
      <rPr>
        <b/>
        <sz val="10"/>
        <color theme="1"/>
        <rFont val="Arial Narrow"/>
        <family val="2"/>
      </rPr>
      <t xml:space="preserve">2 ) </t>
    </r>
    <r>
      <rPr>
        <sz val="10"/>
        <color theme="1"/>
        <rFont val="Arial Narrow"/>
        <family val="2"/>
      </rPr>
      <t xml:space="preserve">Is resident </t>
    </r>
    <r>
      <rPr>
        <b/>
        <sz val="10"/>
        <color theme="1"/>
        <rFont val="Arial Narrow"/>
        <family val="2"/>
      </rPr>
      <t>TB testing</t>
    </r>
    <r>
      <rPr>
        <sz val="10"/>
        <color theme="1"/>
        <rFont val="Arial Narrow"/>
        <family val="2"/>
      </rPr>
      <t xml:space="preserve"> completed on admission using the two-step method or evidence of chest xray has ruled out TB?
</t>
    </r>
  </si>
  <si>
    <t>4</t>
  </si>
  <si>
    <r>
      <rPr>
        <b/>
        <sz val="10"/>
        <color theme="1"/>
        <rFont val="Arial Narrow"/>
        <family val="2"/>
      </rPr>
      <t>3)</t>
    </r>
    <r>
      <rPr>
        <sz val="10"/>
        <color theme="1"/>
        <rFont val="Arial Narrow"/>
        <family val="2"/>
      </rPr>
      <t xml:space="preserve"> Do residents with current </t>
    </r>
    <r>
      <rPr>
        <b/>
        <sz val="10"/>
        <color theme="1"/>
        <rFont val="Arial Narrow"/>
        <family val="2"/>
      </rPr>
      <t>infection/antibiotics</t>
    </r>
    <r>
      <rPr>
        <sz val="10"/>
        <color theme="1"/>
        <rFont val="Arial Narrow"/>
        <family val="2"/>
      </rPr>
      <t xml:space="preserve"> meet McGeer's criteria? Were applicable areas reviewed to include corresponding orders, C&amp;S, medication stop date, precautions, infection eval, resident advocate notification, resident education, care plan, alert charting monitor?</t>
    </r>
  </si>
  <si>
    <t>Does not meet at time of review. Appears no culture reults. Eval does show info was reviewed with provider. ABO changed d/t allergic reaction. New C and S requested and is pending at this time. FAcility following process of notifications. Med was added to allergy list.</t>
  </si>
  <si>
    <t>would clarify if intention is for rsd to be on both Keflex and Batrim for cellulitis. Infecttion eval is "in progress"</t>
  </si>
  <si>
    <r>
      <rPr>
        <b/>
        <sz val="10"/>
        <color theme="1"/>
        <rFont val="Arial Narrow"/>
        <family val="2"/>
      </rPr>
      <t>4)</t>
    </r>
    <r>
      <rPr>
        <sz val="10"/>
        <color theme="1"/>
        <rFont val="Arial Narrow"/>
        <family val="2"/>
      </rPr>
      <t xml:space="preserve"> Are current infections</t>
    </r>
    <r>
      <rPr>
        <b/>
        <sz val="10"/>
        <color theme="1"/>
        <rFont val="Arial Narrow"/>
        <family val="2"/>
      </rPr>
      <t xml:space="preserve"> tracked and trended</t>
    </r>
    <r>
      <rPr>
        <sz val="10"/>
        <color theme="1"/>
        <rFont val="Arial Narrow"/>
        <family val="2"/>
      </rPr>
      <t>? Were applicable areas reviewed to include mapping, organisms, real time so that adjustments to care delivery can be addressed timely if indicated?</t>
    </r>
  </si>
  <si>
    <r>
      <t xml:space="preserve">5) </t>
    </r>
    <r>
      <rPr>
        <sz val="10"/>
        <color theme="1"/>
        <rFont val="Arial Narrow"/>
        <family val="2"/>
      </rPr>
      <t xml:space="preserve">Do </t>
    </r>
    <r>
      <rPr>
        <b/>
        <sz val="10"/>
        <color theme="1"/>
        <rFont val="Arial Narrow"/>
        <family val="2"/>
      </rPr>
      <t>respiratory care</t>
    </r>
    <r>
      <rPr>
        <sz val="10"/>
        <color theme="1"/>
        <rFont val="Arial Narrow"/>
        <family val="2"/>
      </rPr>
      <t xml:space="preserve"> items have orders to change, cleanse, and store as indicated?</t>
    </r>
    <r>
      <rPr>
        <b/>
        <sz val="10"/>
        <color theme="1"/>
        <rFont val="Arial Narrow"/>
        <family val="2"/>
      </rPr>
      <t xml:space="preserve"> </t>
    </r>
    <r>
      <rPr>
        <sz val="10"/>
        <color theme="1"/>
        <rFont val="Arial Narrow"/>
        <family val="2"/>
      </rPr>
      <t>Were applicable areas reviewed to include disposable items dated, concentrator filters cleaned, oxygen tubing changed/dated/stored, nebulizer changed/rinsedstored dry, CPAP/BiPAP/Vent change/cleanse/store, suction devices cleansed/disposed?</t>
    </r>
  </si>
  <si>
    <t xml:space="preserve">Recommend d/c of historic prn orders. Has paramters listed for using oxygen that resident is not meeting. </t>
  </si>
  <si>
    <t>For the next set of questions, please review and score the facility as a whole.</t>
  </si>
  <si>
    <r>
      <rPr>
        <b/>
        <sz val="10"/>
        <color theme="1"/>
        <rFont val="Arial Narrow"/>
        <family val="2"/>
      </rPr>
      <t>6)</t>
    </r>
    <r>
      <rPr>
        <sz val="10"/>
        <color theme="1"/>
        <rFont val="Arial Narrow"/>
        <family val="2"/>
      </rPr>
      <t xml:space="preserve">  Are </t>
    </r>
    <r>
      <rPr>
        <b/>
        <sz val="10"/>
        <color theme="1"/>
        <rFont val="Arial Narrow"/>
        <family val="2"/>
      </rPr>
      <t>staff immunizations</t>
    </r>
    <r>
      <rPr>
        <sz val="10"/>
        <color theme="1"/>
        <rFont val="Arial Narrow"/>
        <family val="2"/>
      </rPr>
      <t xml:space="preserve"> current and/or offered with evidence documented of refusals? Were applicable areas reviewed to include influenza, COVID-19, Hep B as indicated? Was </t>
    </r>
    <r>
      <rPr>
        <b/>
        <sz val="10"/>
        <color theme="1"/>
        <rFont val="Arial Narrow"/>
        <family val="2"/>
      </rPr>
      <t>staff TB testing</t>
    </r>
    <r>
      <rPr>
        <sz val="10"/>
        <color theme="1"/>
        <rFont val="Arial Narrow"/>
        <family val="2"/>
      </rPr>
      <t xml:space="preserve"> completed upon hire for new staff in the last 30 days?</t>
    </r>
  </si>
  <si>
    <r>
      <t xml:space="preserve">7) </t>
    </r>
    <r>
      <rPr>
        <sz val="10"/>
        <color theme="1"/>
        <rFont val="Arial Narrow"/>
        <family val="2"/>
      </rPr>
      <t xml:space="preserve">Are </t>
    </r>
    <r>
      <rPr>
        <b/>
        <sz val="10"/>
        <color theme="1"/>
        <rFont val="Arial Narrow"/>
        <family val="2"/>
      </rPr>
      <t>glucometers calibrated</t>
    </r>
    <r>
      <rPr>
        <sz val="10"/>
        <color theme="1"/>
        <rFont val="Arial Narrow"/>
        <family val="2"/>
      </rPr>
      <t xml:space="preserve"> nightly if for multiple resident use or weekly if for single resident use devices? Are results documented multi-resident log/single-resident on TAR) and reviewed for adjustment if indicated?</t>
    </r>
  </si>
  <si>
    <r>
      <rPr>
        <b/>
        <sz val="10"/>
        <color theme="1"/>
        <rFont val="Arial Narrow"/>
        <family val="2"/>
      </rPr>
      <t>8)</t>
    </r>
    <r>
      <rPr>
        <sz val="10"/>
        <color theme="1"/>
        <rFont val="Arial Narrow"/>
        <family val="2"/>
      </rPr>
      <t xml:space="preserve"> Are infection </t>
    </r>
    <r>
      <rPr>
        <b/>
        <sz val="10"/>
        <color theme="1"/>
        <rFont val="Arial Narrow"/>
        <family val="2"/>
      </rPr>
      <t>surveillance</t>
    </r>
    <r>
      <rPr>
        <sz val="10"/>
        <color theme="1"/>
        <rFont val="Arial Narrow"/>
        <family val="2"/>
      </rPr>
      <t xml:space="preserve"> observation audits done routinely and increased during outbreak and/or spread of infection?</t>
    </r>
  </si>
  <si>
    <r>
      <rPr>
        <b/>
        <sz val="10"/>
        <color theme="1"/>
        <rFont val="Arial Narrow"/>
        <family val="2"/>
      </rPr>
      <t>9)</t>
    </r>
    <r>
      <rPr>
        <sz val="10"/>
        <color theme="1"/>
        <rFont val="Arial Narrow"/>
        <family val="2"/>
      </rPr>
      <t xml:space="preserve"> Run</t>
    </r>
    <r>
      <rPr>
        <b/>
        <sz val="10"/>
        <color theme="1"/>
        <rFont val="Arial Narrow"/>
        <family val="2"/>
      </rPr>
      <t xml:space="preserve"> training report</t>
    </r>
    <r>
      <rPr>
        <sz val="10"/>
        <color theme="1"/>
        <rFont val="Arial Narrow"/>
        <family val="2"/>
      </rPr>
      <t xml:space="preserve">, are staff educated on hire and with outbreaks, new policies, change in routine practices?
</t>
    </r>
  </si>
  <si>
    <t>Score Key:                                                                     Met = 10 | Not Met = 0 | N/A</t>
  </si>
  <si>
    <r>
      <t xml:space="preserve">10) </t>
    </r>
    <r>
      <rPr>
        <sz val="10"/>
        <color theme="1"/>
        <rFont val="Arial Narrow"/>
        <family val="2"/>
      </rPr>
      <t xml:space="preserve">Does the LN use proper technique to clean the </t>
    </r>
    <r>
      <rPr>
        <b/>
        <sz val="10"/>
        <color theme="1"/>
        <rFont val="Arial Narrow"/>
        <family val="2"/>
      </rPr>
      <t>glucometer</t>
    </r>
    <r>
      <rPr>
        <sz val="10"/>
        <color theme="1"/>
        <rFont val="Arial Narrow"/>
        <family val="2"/>
      </rPr>
      <t xml:space="preserve"> and utilize the device for blood glucose testing? Were applicable areas reviewed to include sanitizer/bleach kill time maintained, resident privacy, barrier for items set on overbed table, gloves/hand hygiene, sharps container disposal,  </t>
    </r>
  </si>
  <si>
    <r>
      <t xml:space="preserve">11) </t>
    </r>
    <r>
      <rPr>
        <sz val="10"/>
        <color theme="1"/>
        <rFont val="Arial Narrow"/>
        <family val="2"/>
      </rPr>
      <t xml:space="preserve">Does the Infection Preventionist have current </t>
    </r>
    <r>
      <rPr>
        <b/>
        <sz val="10"/>
        <color theme="1"/>
        <rFont val="Arial Narrow"/>
        <family val="2"/>
      </rPr>
      <t>IP certification</t>
    </r>
    <r>
      <rPr>
        <sz val="10"/>
        <color theme="1"/>
        <rFont val="Arial Narrow"/>
        <family val="2"/>
      </rPr>
      <t xml:space="preserve"> with a nationally recognized certificate? Do </t>
    </r>
    <r>
      <rPr>
        <u/>
        <sz val="10"/>
        <color theme="1"/>
        <rFont val="Arial Narrow"/>
        <family val="2"/>
      </rPr>
      <t>two staff</t>
    </r>
    <r>
      <rPr>
        <sz val="10"/>
        <color theme="1"/>
        <rFont val="Arial Narrow"/>
        <family val="2"/>
      </rPr>
      <t xml:space="preserve"> members have access to report in </t>
    </r>
    <r>
      <rPr>
        <b/>
        <sz val="10"/>
        <color theme="1"/>
        <rFont val="Arial Narrow"/>
        <family val="2"/>
      </rPr>
      <t>NHSN</t>
    </r>
    <r>
      <rPr>
        <sz val="10"/>
        <color theme="1"/>
        <rFont val="Arial Narrow"/>
        <family val="2"/>
      </rPr>
      <t>?</t>
    </r>
  </si>
  <si>
    <r>
      <rPr>
        <b/>
        <sz val="10"/>
        <color theme="1"/>
        <rFont val="Arial Narrow"/>
        <family val="2"/>
      </rPr>
      <t>12)</t>
    </r>
    <r>
      <rPr>
        <sz val="10"/>
        <color theme="1"/>
        <rFont val="Arial Narrow"/>
        <family val="2"/>
      </rPr>
      <t xml:space="preserve"> Are</t>
    </r>
    <r>
      <rPr>
        <b/>
        <sz val="10"/>
        <color theme="1"/>
        <rFont val="Arial Narrow"/>
        <family val="2"/>
      </rPr>
      <t xml:space="preserve"> refrigerators</t>
    </r>
    <r>
      <rPr>
        <sz val="10"/>
        <color theme="1"/>
        <rFont val="Arial Narrow"/>
        <family val="2"/>
      </rPr>
      <t xml:space="preserve"> clean, with a thermometer, and monitored with documentation at least daily? Are temperatures appropriate for nourishment 33-40 degrees, medication 36-46 degrees, immunizations 36-46 degrees, lab draws 40-46 degrees? </t>
    </r>
  </si>
  <si>
    <r>
      <rPr>
        <b/>
        <sz val="10"/>
        <color theme="1"/>
        <rFont val="Arial Narrow"/>
        <family val="2"/>
      </rPr>
      <t>13)</t>
    </r>
    <r>
      <rPr>
        <sz val="10"/>
        <color theme="1"/>
        <rFont val="Arial Narrow"/>
        <family val="2"/>
      </rPr>
      <t xml:space="preserve"> Do staff donn, doff, dispose</t>
    </r>
    <r>
      <rPr>
        <b/>
        <sz val="10"/>
        <color theme="1"/>
        <rFont val="Arial Narrow"/>
        <family val="2"/>
      </rPr>
      <t xml:space="preserve"> PPE</t>
    </r>
    <r>
      <rPr>
        <sz val="10"/>
        <color theme="1"/>
        <rFont val="Arial Narrow"/>
        <family val="2"/>
      </rPr>
      <t xml:space="preserve"> for EBP or TBP appropriately? Were applicable areas reviewed to include signage, supply quantity and storage, appropriate order, waste container inside the room, and a covered waste container outside the room door?</t>
    </r>
  </si>
  <si>
    <r>
      <t xml:space="preserve">14) </t>
    </r>
    <r>
      <rPr>
        <sz val="10"/>
        <color theme="1"/>
        <rFont val="Arial Narrow"/>
        <family val="2"/>
      </rPr>
      <t>Do</t>
    </r>
    <r>
      <rPr>
        <b/>
        <sz val="10"/>
        <color theme="1"/>
        <rFont val="Arial Narrow"/>
        <family val="2"/>
      </rPr>
      <t xml:space="preserve"> staff perform hand hygiene</t>
    </r>
    <r>
      <rPr>
        <sz val="10"/>
        <color theme="1"/>
        <rFont val="Arial Narrow"/>
        <family val="2"/>
      </rPr>
      <t xml:space="preserve"> appropriately and with frequency? Were applicable areas reviewed to include enter/exit of room, with glove use, during meals, for a full 20 seconds, clean towel to turn off water, rub ABHS until dry?</t>
    </r>
  </si>
  <si>
    <r>
      <t xml:space="preserve">15) </t>
    </r>
    <r>
      <rPr>
        <sz val="10"/>
        <color theme="1"/>
        <rFont val="Arial Narrow"/>
        <family val="2"/>
      </rPr>
      <t>Are</t>
    </r>
    <r>
      <rPr>
        <b/>
        <sz val="10"/>
        <color theme="1"/>
        <rFont val="Arial Narrow"/>
        <family val="2"/>
      </rPr>
      <t xml:space="preserve"> residents assisted with hand hygiene</t>
    </r>
    <r>
      <rPr>
        <sz val="10"/>
        <color theme="1"/>
        <rFont val="Arial Narrow"/>
        <family val="2"/>
      </rPr>
      <t xml:space="preserve"> after toileting, before meals, etc?</t>
    </r>
  </si>
  <si>
    <r>
      <t xml:space="preserve">16) </t>
    </r>
    <r>
      <rPr>
        <sz val="10"/>
        <color theme="1"/>
        <rFont val="Arial Narrow"/>
        <family val="2"/>
      </rPr>
      <t xml:space="preserve">Do </t>
    </r>
    <r>
      <rPr>
        <b/>
        <sz val="10"/>
        <color theme="1"/>
        <rFont val="Arial Narrow"/>
        <family val="2"/>
      </rPr>
      <t>ABHS</t>
    </r>
    <r>
      <rPr>
        <sz val="10"/>
        <color theme="1"/>
        <rFont val="Arial Narrow"/>
        <family val="2"/>
      </rPr>
      <t xml:space="preserve"> dispense adequate volume of sanitizer? Is the sanitizer 60-90% alcohol?</t>
    </r>
  </si>
  <si>
    <r>
      <t xml:space="preserve">17) </t>
    </r>
    <r>
      <rPr>
        <sz val="10"/>
        <color theme="1"/>
        <rFont val="Arial Narrow"/>
        <family val="2"/>
      </rPr>
      <t xml:space="preserve"> If there is an </t>
    </r>
    <r>
      <rPr>
        <b/>
        <sz val="10"/>
        <color theme="1"/>
        <rFont val="Arial Narrow"/>
        <family val="2"/>
      </rPr>
      <t>outbreak</t>
    </r>
    <r>
      <rPr>
        <sz val="10"/>
        <color theme="1"/>
        <rFont val="Arial Narrow"/>
        <family val="2"/>
      </rPr>
      <t>, policies and procedures are followed? Were applicable areas reviewed to include source control, precautions, signage, PPE, notification, health dept engagement, medical director/QAPI sub-committee review?</t>
    </r>
  </si>
  <si>
    <r>
      <t xml:space="preserve">18) </t>
    </r>
    <r>
      <rPr>
        <sz val="10"/>
        <color theme="1"/>
        <rFont val="Arial Narrow"/>
        <family val="2"/>
      </rPr>
      <t xml:space="preserve"> Do care givers complete </t>
    </r>
    <r>
      <rPr>
        <b/>
        <sz val="10"/>
        <color theme="1"/>
        <rFont val="Arial Narrow"/>
        <family val="2"/>
      </rPr>
      <t>peri care</t>
    </r>
    <r>
      <rPr>
        <sz val="10"/>
        <color theme="1"/>
        <rFont val="Arial Narrow"/>
        <family val="2"/>
      </rPr>
      <t xml:space="preserve"> per guidelines? Were applicable areas reviewed to include glove changes, hand hygiene, no clean linen against the uniform, cleaning front to back/clean to dirty, no soiled linen on the floor, bagged linen disposal?</t>
    </r>
  </si>
  <si>
    <r>
      <t xml:space="preserve">19) </t>
    </r>
    <r>
      <rPr>
        <sz val="10"/>
        <color theme="1"/>
        <rFont val="Arial Narrow"/>
        <family val="2"/>
      </rPr>
      <t xml:space="preserve"> Do LNs complete dressing changes, ointment application, respiratory tx, eye drops, injections, med pass with appropriate </t>
    </r>
    <r>
      <rPr>
        <b/>
        <sz val="10"/>
        <color theme="1"/>
        <rFont val="Arial Narrow"/>
        <family val="2"/>
      </rPr>
      <t>standard of practice</t>
    </r>
    <r>
      <rPr>
        <sz val="10"/>
        <color theme="1"/>
        <rFont val="Arial Narrow"/>
        <family val="2"/>
      </rPr>
      <t xml:space="preserve"> infection control techniques?</t>
    </r>
  </si>
  <si>
    <r>
      <t xml:space="preserve">20) </t>
    </r>
    <r>
      <rPr>
        <sz val="10"/>
        <color theme="1"/>
        <rFont val="Arial Narrow"/>
        <family val="2"/>
      </rPr>
      <t xml:space="preserve"> Are </t>
    </r>
    <r>
      <rPr>
        <b/>
        <sz val="10"/>
        <color theme="1"/>
        <rFont val="Arial Narrow"/>
        <family val="2"/>
      </rPr>
      <t>laundry</t>
    </r>
    <r>
      <rPr>
        <sz val="10"/>
        <color theme="1"/>
        <rFont val="Arial Narrow"/>
        <family val="2"/>
      </rPr>
      <t xml:space="preserve"> processing procedure appropriate for infection control? Were applicable areas reviewed to include glove/gown use with soiled items, cleansing the washer rim post loading/before closing the door, water temp/sanitizer process, hand hygiene, folding processed, delivery of linens in a covered cart?</t>
    </r>
  </si>
  <si>
    <t>Infection Prevention &amp; Control Total Possible Points:</t>
  </si>
  <si>
    <r>
      <t xml:space="preserve">1) </t>
    </r>
    <r>
      <rPr>
        <sz val="10"/>
        <color theme="1"/>
        <rFont val="Arial Narrow"/>
        <family val="2"/>
      </rPr>
      <t>When do you perform hand hygiene? What is the intended duration of the scrub/rub?</t>
    </r>
  </si>
  <si>
    <r>
      <t xml:space="preserve">2) </t>
    </r>
    <r>
      <rPr>
        <sz val="10"/>
        <color theme="1"/>
        <rFont val="Arial Narrow"/>
        <family val="2"/>
      </rPr>
      <t>Are PPE supplies readily available? Who do you contact for replacement supplies?</t>
    </r>
  </si>
  <si>
    <r>
      <t xml:space="preserve">3) </t>
    </r>
    <r>
      <rPr>
        <sz val="10"/>
        <color theme="1"/>
        <rFont val="Arial Narrow"/>
        <family val="2"/>
      </rPr>
      <t>How do you know what residents are on enhanced barrier or transmission-based precautions? What is the cause of the isolation precautions? How does that impact your entry into the resident environment?</t>
    </r>
  </si>
  <si>
    <r>
      <t xml:space="preserve">4) </t>
    </r>
    <r>
      <rPr>
        <sz val="10"/>
        <color theme="1"/>
        <rFont val="Arial Narrow"/>
        <family val="2"/>
      </rPr>
      <t xml:space="preserve">If you are ill or have an open wound to whom do you report? </t>
    </r>
  </si>
  <si>
    <r>
      <t xml:space="preserve">5) </t>
    </r>
    <r>
      <rPr>
        <sz val="10"/>
        <color theme="1"/>
        <rFont val="Arial Narrow"/>
        <family val="2"/>
      </rPr>
      <t>As an employee, have you been offered influenza and COVID-19 immunizations?</t>
    </r>
  </si>
  <si>
    <t>A&amp;I Safety Events</t>
  </si>
  <si>
    <t>A&amp;I Resident Selection</t>
  </si>
  <si>
    <t>1st Score Column</t>
  </si>
  <si>
    <t>2nd &amp; 3rd Score Column</t>
  </si>
  <si>
    <t>Observations</t>
  </si>
  <si>
    <t>Follow-Up Needed?</t>
  </si>
  <si>
    <t>Fall</t>
  </si>
  <si>
    <t>Admit Last 30 Days</t>
  </si>
  <si>
    <t>Yes</t>
  </si>
  <si>
    <t>Near Miss</t>
  </si>
  <si>
    <t>Change of Condition</t>
  </si>
  <si>
    <t>No</t>
  </si>
  <si>
    <t>Other</t>
  </si>
  <si>
    <t>ER Visit</t>
  </si>
  <si>
    <t>Res-to-Res</t>
  </si>
  <si>
    <t>Facility Name</t>
  </si>
  <si>
    <t>Safety/Entrapment</t>
  </si>
  <si>
    <t>Medication Error</t>
  </si>
  <si>
    <t>Review Period</t>
  </si>
  <si>
    <t>Smoking</t>
  </si>
  <si>
    <t>Repeat Fall</t>
  </si>
  <si>
    <t>Alderwood Park Health and Rehab</t>
  </si>
  <si>
    <t>Wander/Elopement</t>
  </si>
  <si>
    <t>Reportable</t>
  </si>
  <si>
    <t>January 2025</t>
  </si>
  <si>
    <t>Arbor Valley of Cascadia</t>
  </si>
  <si>
    <t>Aspen Park of Cascadia</t>
  </si>
  <si>
    <t>Discharge/Transfer Location</t>
  </si>
  <si>
    <t>Discharge/Transfer Event Type</t>
  </si>
  <si>
    <t>March 2025</t>
  </si>
  <si>
    <t>Boswell Transitional Care of Cascadia</t>
  </si>
  <si>
    <t>Wound Status</t>
  </si>
  <si>
    <t>Category</t>
  </si>
  <si>
    <t>April 2025</t>
  </si>
  <si>
    <t>ALF</t>
  </si>
  <si>
    <t>Death</t>
  </si>
  <si>
    <t>May 2025</t>
  </si>
  <si>
    <t>Caldwell Care of Cascadia</t>
  </si>
  <si>
    <t>Deteriorating</t>
  </si>
  <si>
    <t>Admit with Wound</t>
  </si>
  <si>
    <t>Home</t>
  </si>
  <si>
    <t>Emergent Transfer</t>
  </si>
  <si>
    <t>June 2025</t>
  </si>
  <si>
    <t>Canyon West of Cascadia</t>
  </si>
  <si>
    <t>Improving</t>
  </si>
  <si>
    <t>In-House Acquisition</t>
  </si>
  <si>
    <t>Hospital</t>
  </si>
  <si>
    <t>Planned Discharge</t>
  </si>
  <si>
    <t>July 2025</t>
  </si>
  <si>
    <t>Cascadia of Boise</t>
  </si>
  <si>
    <t>New</t>
  </si>
  <si>
    <t>New Admit</t>
  </si>
  <si>
    <t>Mortuary</t>
  </si>
  <si>
    <t>August 2025</t>
  </si>
  <si>
    <t>Cascadia of Lewiston</t>
  </si>
  <si>
    <t>No Current Wound</t>
  </si>
  <si>
    <t>Non-Pressure</t>
  </si>
  <si>
    <t>IP Precaution Type</t>
  </si>
  <si>
    <t>September 2025</t>
  </si>
  <si>
    <t>Cascadia of Nampa</t>
  </si>
  <si>
    <t>Stalled</t>
  </si>
  <si>
    <t>Retirement</t>
  </si>
  <si>
    <t xml:space="preserve">October 2025 </t>
  </si>
  <si>
    <t>Cherry Ridge of Cascadia</t>
  </si>
  <si>
    <t>Abuse Event Type</t>
  </si>
  <si>
    <t>SNF</t>
  </si>
  <si>
    <t>November 2025</t>
  </si>
  <si>
    <t>Clarkston Health and Rehabilitation of Cascadia</t>
  </si>
  <si>
    <t>Abuse Resident Selection</t>
  </si>
  <si>
    <t>None</t>
  </si>
  <si>
    <t>December 2025</t>
  </si>
  <si>
    <t>Clearwater Health and Rehabilitation of Cascadia</t>
  </si>
  <si>
    <t>Exploitation</t>
  </si>
  <si>
    <t>IP Resident Selection</t>
  </si>
  <si>
    <t>Prevention</t>
  </si>
  <si>
    <t>Coeur d'Alene Health and Rehabilitation of Cascadia</t>
  </si>
  <si>
    <t>Grievances</t>
  </si>
  <si>
    <t>Mental</t>
  </si>
  <si>
    <t>Colfax Health and Rehabilitation of Cascadia</t>
  </si>
  <si>
    <t>Misappropriation</t>
  </si>
  <si>
    <t>TBP</t>
  </si>
  <si>
    <t>Colville Health and Rehabilitation of Cascadia</t>
  </si>
  <si>
    <t>Progress Note</t>
  </si>
  <si>
    <t>Neglect</t>
  </si>
  <si>
    <t>Colonized</t>
  </si>
  <si>
    <t>Undiagnosed Resp</t>
  </si>
  <si>
    <t>Creekside Health and Rehabilitation of Cascadia</t>
  </si>
  <si>
    <t>Curry Village Health and Rehabilitation of Cascadia (ALF)</t>
  </si>
  <si>
    <t>Abaqis Interviews</t>
  </si>
  <si>
    <t>Sexual</t>
  </si>
  <si>
    <t>New Admission</t>
  </si>
  <si>
    <t>Curry Village Health and Rehabilitation of Cascadia (SNF)</t>
  </si>
  <si>
    <t>Verbal</t>
  </si>
  <si>
    <t>Eagle Rock of Cascadia</t>
  </si>
  <si>
    <t>Fairlawn Health and Rehabilitation of Cascadia</t>
  </si>
  <si>
    <t>Vent/Trach</t>
  </si>
  <si>
    <t>Grangeville Health and Rehabilitation of Cascadia</t>
  </si>
  <si>
    <t>Highland Health and Rehabilitation of Cascadia</t>
  </si>
  <si>
    <t>Hudson Bay Health and Rehabilitatio of Cascadia</t>
  </si>
  <si>
    <t>Lewiston Transitional Care of Cascadia</t>
  </si>
  <si>
    <t>Libby Care Center of Cascadia</t>
  </si>
  <si>
    <t>Mount Ascension Transitional Care of Cascadia</t>
  </si>
  <si>
    <t>Mountain Valley of Cascadia</t>
  </si>
  <si>
    <t>Mountain View of Cascadia</t>
  </si>
  <si>
    <t>NorthPark Health and Rehabilitation of Cascadia</t>
  </si>
  <si>
    <t>Paradise Creek Health and Rehabilitation of Cascadia</t>
  </si>
  <si>
    <t>Payette Healthcare of Cascadia</t>
  </si>
  <si>
    <t>Royal Plaza Health and Rehabilitation of Cascadia</t>
  </si>
  <si>
    <t>Secora Rehabilitation of Cascadia</t>
  </si>
  <si>
    <t>Shaw Mountain of Cascadia</t>
  </si>
  <si>
    <t>Silverton Health and Rehabilitation of Cascadia</t>
  </si>
  <si>
    <t>Snohomish Health and Rehabilitatio of Cascadia</t>
  </si>
  <si>
    <t>Spokane Valley Health and Rehabilitation of Cascadia</t>
  </si>
  <si>
    <t>Stafholt Health and Rehabilitation of Cascadia</t>
  </si>
  <si>
    <t>Teton Healthcare of Cascadia</t>
  </si>
  <si>
    <t>The Cove of Cascadia (ALF)</t>
  </si>
  <si>
    <t>The Cove of Cascadia (SNF)</t>
  </si>
  <si>
    <t>The Orchards of Cascadia</t>
  </si>
  <si>
    <t>Twin Falls Transitioal Care of Cascadia</t>
  </si>
  <si>
    <t>Village Manor of Cascadia</t>
  </si>
  <si>
    <t>Weiser Care of Cascadia</t>
  </si>
  <si>
    <t>Wellspring Health and Rehabilitation of Cascadia</t>
  </si>
  <si>
    <t>Amy Abraham 2/17/25</t>
  </si>
  <si>
    <r>
      <t xml:space="preserve">Key Element Validation:                      </t>
    </r>
    <r>
      <rPr>
        <b/>
        <i/>
        <sz val="14"/>
        <color theme="1"/>
        <rFont val="Arial Narrow"/>
        <family val="2"/>
      </rPr>
      <t>Skin Integrity &amp; Wounds</t>
    </r>
  </si>
  <si>
    <t>Angela Castellano- PU stage 4 wound #5 POA and wound #11 MASD INA</t>
  </si>
  <si>
    <t>Craig Clark- Wound #3 PU stage 2 left ischial- IHA</t>
  </si>
  <si>
    <t>Pamela Malkin- #4 unstageable left heel IHA- New 2/11/25</t>
  </si>
  <si>
    <t>2 212-W</t>
  </si>
  <si>
    <t>1 113-W</t>
  </si>
  <si>
    <t>Wound Status:</t>
  </si>
  <si>
    <r>
      <t xml:space="preserve">Record Review Directions: </t>
    </r>
    <r>
      <rPr>
        <sz val="11"/>
        <color theme="1"/>
        <rFont val="Arial Narrow"/>
        <family val="2"/>
      </rPr>
      <t>Briefly describe the wound and</t>
    </r>
    <r>
      <rPr>
        <sz val="12"/>
        <color theme="1"/>
        <rFont val="Arial Narrow"/>
        <family val="2"/>
      </rPr>
      <t xml:space="preserve"> note the date of wound development, if relevant</t>
    </r>
    <r>
      <rPr>
        <b/>
        <sz val="12"/>
        <color theme="1"/>
        <rFont val="Arial Narrow"/>
        <family val="2"/>
      </rPr>
      <t>.</t>
    </r>
    <r>
      <rPr>
        <sz val="12"/>
        <color theme="1"/>
        <rFont val="Arial Narrow"/>
        <family val="2"/>
      </rPr>
      <t xml:space="preserve"> If the question is not applicable, select "N/A".</t>
    </r>
  </si>
  <si>
    <r>
      <rPr>
        <b/>
        <sz val="10"/>
        <color theme="1"/>
        <rFont val="Arial Narrow"/>
        <family val="2"/>
      </rPr>
      <t>1)</t>
    </r>
    <r>
      <rPr>
        <sz val="10"/>
        <color theme="1"/>
        <rFont val="Arial Narrow"/>
        <family val="2"/>
      </rPr>
      <t xml:space="preserve">  Was risk anticipated? Note </t>
    </r>
    <r>
      <rPr>
        <b/>
        <sz val="10"/>
        <color theme="1"/>
        <rFont val="Arial Narrow"/>
        <family val="2"/>
      </rPr>
      <t>Braden</t>
    </r>
    <r>
      <rPr>
        <sz val="10"/>
        <color theme="1"/>
        <rFont val="Arial Narrow"/>
        <family val="2"/>
      </rPr>
      <t xml:space="preserve"> score. Was Braden completed timely on admission, quarterly, and as needed? Were care plan interventions established to address areas that trigger? Were applicable areas reviewed to include if indicated sensory, moisture, activity, mobility, nutrition, friction/shearing, hx, comorbidities? </t>
    </r>
  </si>
  <si>
    <r>
      <rPr>
        <b/>
        <sz val="10"/>
        <color theme="1"/>
        <rFont val="Arial Narrow"/>
        <family val="2"/>
      </rPr>
      <t>2)</t>
    </r>
    <r>
      <rPr>
        <sz val="10"/>
        <color theme="1"/>
        <rFont val="Arial Narrow"/>
        <family val="2"/>
      </rPr>
      <t xml:space="preserve">  Were </t>
    </r>
    <r>
      <rPr>
        <b/>
        <sz val="10"/>
        <color theme="1"/>
        <rFont val="Arial Narrow"/>
        <family val="2"/>
      </rPr>
      <t>pressure reducing/relief device</t>
    </r>
    <r>
      <rPr>
        <sz val="10"/>
        <color theme="1"/>
        <rFont val="Arial Narrow"/>
        <family val="2"/>
      </rPr>
      <t xml:space="preserve">s implemented? Were applicable areas reviewed to include turn schedule, turning wedge/pillows, slip/turn sheet, toileting prog, air bed with setting, w/c cushion, heel pro/boots, supplements, geri-sleeves, derma-legs? </t>
    </r>
  </si>
  <si>
    <r>
      <rPr>
        <b/>
        <sz val="10"/>
        <color theme="1"/>
        <rFont val="Arial Narrow"/>
        <family val="2"/>
      </rPr>
      <t>3)</t>
    </r>
    <r>
      <rPr>
        <sz val="10"/>
        <color theme="1"/>
        <rFont val="Arial Narrow"/>
        <family val="2"/>
      </rPr>
      <t xml:space="preserve"> Weekly </t>
    </r>
    <r>
      <rPr>
        <b/>
        <sz val="10"/>
        <color theme="1"/>
        <rFont val="Arial Narrow"/>
        <family val="2"/>
      </rPr>
      <t xml:space="preserve">skin check </t>
    </r>
    <r>
      <rPr>
        <sz val="10"/>
        <color theme="1"/>
        <rFont val="Arial Narrow"/>
        <family val="2"/>
      </rPr>
      <t>scheduled and completed timely? Was skin health addressed reviewing for quality prevention plan?</t>
    </r>
  </si>
  <si>
    <r>
      <t xml:space="preserve">4) </t>
    </r>
    <r>
      <rPr>
        <sz val="10"/>
        <color theme="1"/>
        <rFont val="Arial Narrow"/>
        <family val="2"/>
      </rPr>
      <t xml:space="preserve">If new wound, was </t>
    </r>
    <r>
      <rPr>
        <b/>
        <sz val="10"/>
        <color theme="1"/>
        <rFont val="Arial Narrow"/>
        <family val="2"/>
      </rPr>
      <t>immediate assess/eva</t>
    </r>
    <r>
      <rPr>
        <sz val="10"/>
        <color theme="1"/>
        <rFont val="Arial Narrow"/>
        <family val="2"/>
      </rPr>
      <t xml:space="preserve">l completed with photo/helix of significant wounds if indicated, incident completed in risk mgmt if in-house acquired, neglect verified/not verified/inconclusive? </t>
    </r>
  </si>
  <si>
    <t>Has new wound 2/12/25 indicated MASD to sacrum. Recommend having UWH document etiology/dx of that area</t>
  </si>
  <si>
    <r>
      <rPr>
        <b/>
        <sz val="10"/>
        <color theme="1"/>
        <rFont val="Arial Narrow"/>
        <family val="2"/>
      </rPr>
      <t>5)</t>
    </r>
    <r>
      <rPr>
        <sz val="10"/>
        <color theme="1"/>
        <rFont val="Arial Narrow"/>
        <family val="2"/>
      </rPr>
      <t xml:space="preserve"> Was </t>
    </r>
    <r>
      <rPr>
        <b/>
        <sz val="10"/>
        <color theme="1"/>
        <rFont val="Arial Narrow"/>
        <family val="2"/>
      </rPr>
      <t>RCA</t>
    </r>
    <r>
      <rPr>
        <sz val="10"/>
        <color theme="1"/>
        <rFont val="Arial Narrow"/>
        <family val="2"/>
      </rPr>
      <t xml:space="preserve"> completed or identified? Is the RCA feasible?</t>
    </r>
  </si>
  <si>
    <t>did not see RCA of masd new on 2/12/25.</t>
  </si>
  <si>
    <t>Did not see RCA done on new PU 12/14/24</t>
  </si>
  <si>
    <t>RM was initiated 2/12/25- is in progress</t>
  </si>
  <si>
    <r>
      <t>6)</t>
    </r>
    <r>
      <rPr>
        <sz val="10"/>
        <color theme="1"/>
        <rFont val="Arial Narrow"/>
        <family val="2"/>
      </rPr>
      <t xml:space="preserve"> If new wound, was </t>
    </r>
    <r>
      <rPr>
        <b/>
        <sz val="10"/>
        <color theme="1"/>
        <rFont val="Arial Narrow"/>
        <family val="2"/>
      </rPr>
      <t>alert charting</t>
    </r>
    <r>
      <rPr>
        <sz val="10"/>
        <color theme="1"/>
        <rFont val="Arial Narrow"/>
        <family val="2"/>
      </rPr>
      <t xml:space="preserve"> established with quality progress note x 72 hours for wounds/TAR notation x 7 days for bruises to address potential latent injury, response to treatment, effectiveness of care plan updates?</t>
    </r>
  </si>
  <si>
    <t>Did not see alert for MASD to sacrum</t>
  </si>
  <si>
    <t>x 72 hours noted/ not q shift</t>
  </si>
  <si>
    <r>
      <t xml:space="preserve">7) </t>
    </r>
    <r>
      <rPr>
        <sz val="10"/>
        <color theme="1"/>
        <rFont val="Arial Narrow"/>
        <family val="2"/>
      </rPr>
      <t xml:space="preserve">Is </t>
    </r>
    <r>
      <rPr>
        <b/>
        <sz val="10"/>
        <color theme="1"/>
        <rFont val="Arial Narrow"/>
        <family val="2"/>
      </rPr>
      <t>treatment</t>
    </r>
    <r>
      <rPr>
        <sz val="10"/>
        <color theme="1"/>
        <rFont val="Arial Narrow"/>
        <family val="2"/>
      </rPr>
      <t xml:space="preserve"> order complete? Were applicable areas reviewed to include site, type, cleanse with, apply, cover with, frequency? If under a brace is a daily skin monitor on TAR? Is an airbed in use with setting monitor on MAR?</t>
    </r>
  </si>
  <si>
    <t>REcommend tx order match UWH order. Calls left ischium stage 4 , not gluteal cleft DTPI. Note- facility not able to obtain acetic acid -if not able to get Provider needs re-notified.</t>
  </si>
  <si>
    <t xml:space="preserve">PU dressing does not indicate site of wound. Skin and wound indicates Stage 2 to left ischial , order indicates is a stage 3 but no locationl UWH eval 1/22/25 also notes as stage 3 - would update skin and wound </t>
  </si>
  <si>
    <r>
      <t xml:space="preserve">8) </t>
    </r>
    <r>
      <rPr>
        <sz val="10"/>
        <color theme="1"/>
        <rFont val="Arial Narrow"/>
        <family val="2"/>
      </rPr>
      <t xml:space="preserve">Is the </t>
    </r>
    <r>
      <rPr>
        <b/>
        <sz val="10"/>
        <color theme="1"/>
        <rFont val="Arial Narrow"/>
        <family val="2"/>
      </rPr>
      <t>TAR</t>
    </r>
    <r>
      <rPr>
        <sz val="10"/>
        <color theme="1"/>
        <rFont val="Arial Narrow"/>
        <family val="2"/>
      </rPr>
      <t xml:space="preserve"> consistenly completed for wound treatment plan? Are changes in orders implemented timely?</t>
    </r>
  </si>
  <si>
    <t>does have a missed documentation of completion about every 2 weeks in tar review</t>
  </si>
  <si>
    <r>
      <rPr>
        <b/>
        <sz val="10"/>
        <color theme="1"/>
        <rFont val="Arial Narrow"/>
        <family val="2"/>
      </rPr>
      <t>9)</t>
    </r>
    <r>
      <rPr>
        <sz val="10"/>
        <color theme="1"/>
        <rFont val="Arial Narrow"/>
        <family val="2"/>
      </rPr>
      <t xml:space="preserve"> Is current </t>
    </r>
    <r>
      <rPr>
        <b/>
        <sz val="10"/>
        <color theme="1"/>
        <rFont val="Arial Narrow"/>
        <family val="2"/>
      </rPr>
      <t>wound eval and photo</t>
    </r>
    <r>
      <rPr>
        <sz val="10"/>
        <color theme="1"/>
        <rFont val="Arial Narrow"/>
        <family val="2"/>
      </rPr>
      <t xml:space="preserve"> completed weekly and locked timely? Is PUSH score address if indicated? If wound is not improving every 14 days is adv practice practioner notified with follow-up and new orders and care plan evident?</t>
    </r>
  </si>
  <si>
    <t>.Wounds are difficult to match up as has many showing current that appear to maybe have resolved. Appears switching from eval BWAT report to skin and wound?</t>
  </si>
  <si>
    <t xml:space="preserve">Appears switched ot skin and wound 2/2025? from BWAT report.. </t>
  </si>
  <si>
    <r>
      <rPr>
        <b/>
        <sz val="10"/>
        <color theme="1"/>
        <rFont val="Arial Narrow"/>
        <family val="2"/>
      </rPr>
      <t xml:space="preserve">10) </t>
    </r>
    <r>
      <rPr>
        <sz val="10"/>
        <color theme="1"/>
        <rFont val="Arial Narrow"/>
        <family val="2"/>
      </rPr>
      <t>Was the resident advocate</t>
    </r>
    <r>
      <rPr>
        <b/>
        <sz val="10"/>
        <color theme="1"/>
        <rFont val="Arial Narrow"/>
        <family val="2"/>
      </rPr>
      <t xml:space="preserve"> notifed</t>
    </r>
    <r>
      <rPr>
        <sz val="10"/>
        <color theme="1"/>
        <rFont val="Arial Narrow"/>
        <family val="2"/>
      </rPr>
      <t xml:space="preserve"> of wound and/or wound changes?</t>
    </r>
  </si>
  <si>
    <t>Admitted with</t>
  </si>
  <si>
    <r>
      <rPr>
        <b/>
        <sz val="10"/>
        <color theme="1"/>
        <rFont val="Arial Narrow"/>
        <family val="2"/>
      </rPr>
      <t>11)</t>
    </r>
    <r>
      <rPr>
        <sz val="10"/>
        <color theme="1"/>
        <rFont val="Arial Narrow"/>
        <family val="2"/>
      </rPr>
      <t xml:space="preserve"> Does the current</t>
    </r>
    <r>
      <rPr>
        <b/>
        <sz val="10"/>
        <color theme="1"/>
        <rFont val="Arial Narrow"/>
        <family val="2"/>
      </rPr>
      <t xml:space="preserve"> RD note</t>
    </r>
    <r>
      <rPr>
        <sz val="10"/>
        <color theme="1"/>
        <rFont val="Arial Narrow"/>
        <family val="2"/>
      </rPr>
      <t xml:space="preserve"> reflect wound risk or management of increased nutritional needs, labs?</t>
    </r>
  </si>
  <si>
    <t>New wound- recommend bring to next review</t>
  </si>
  <si>
    <r>
      <rPr>
        <b/>
        <sz val="10"/>
        <color theme="1"/>
        <rFont val="Arial Narrow"/>
        <family val="2"/>
      </rPr>
      <t>12)</t>
    </r>
    <r>
      <rPr>
        <sz val="10"/>
        <color theme="1"/>
        <rFont val="Arial Narrow"/>
        <family val="2"/>
      </rPr>
      <t xml:space="preserve"> Is the </t>
    </r>
    <r>
      <rPr>
        <b/>
        <sz val="10"/>
        <color theme="1"/>
        <rFont val="Arial Narrow"/>
        <family val="2"/>
      </rPr>
      <t>MDS</t>
    </r>
    <r>
      <rPr>
        <sz val="10"/>
        <color theme="1"/>
        <rFont val="Arial Narrow"/>
        <family val="2"/>
      </rPr>
      <t xml:space="preserve"> coded accurately for wound? Is the CAA detailed? Is a sig change completed if indicated?</t>
    </r>
  </si>
  <si>
    <t>MDS is in process. ARD 2/13/25</t>
  </si>
  <si>
    <r>
      <rPr>
        <b/>
        <sz val="10"/>
        <color theme="1"/>
        <rFont val="Arial Narrow"/>
        <family val="2"/>
      </rPr>
      <t xml:space="preserve">13) </t>
    </r>
    <r>
      <rPr>
        <sz val="10"/>
        <color theme="1"/>
        <rFont val="Arial Narrow"/>
        <family val="2"/>
      </rPr>
      <t>Was the</t>
    </r>
    <r>
      <rPr>
        <b/>
        <sz val="10"/>
        <color theme="1"/>
        <rFont val="Arial Narrow"/>
        <family val="2"/>
      </rPr>
      <t xml:space="preserve"> care plan</t>
    </r>
    <r>
      <rPr>
        <sz val="10"/>
        <color theme="1"/>
        <rFont val="Arial Narrow"/>
        <family val="2"/>
      </rPr>
      <t xml:space="preserve"> established for risk, prevention, and actual wound site resolution? Were applicable areas reviewed to include focus, measureable goal, person-centered approaches, kardex update, communication board updated with highlight to POC staff? Was resident participation/refusal, pain, nutrition addressed, support surface, devices?</t>
    </r>
  </si>
  <si>
    <t>Care plan to be updated to reflect current wound status/interventions</t>
  </si>
  <si>
    <t>Does not appear to include new open area to left heel as of 2/17/25. RM is in process. Has referral to podiatry about shoes.</t>
  </si>
  <si>
    <r>
      <rPr>
        <b/>
        <sz val="10"/>
        <color theme="1"/>
        <rFont val="Arial Narrow"/>
        <family val="2"/>
      </rPr>
      <t>14)</t>
    </r>
    <r>
      <rPr>
        <sz val="10"/>
        <color theme="1"/>
        <rFont val="Arial Narrow"/>
        <family val="2"/>
      </rPr>
      <t xml:space="preserve"> Was documented </t>
    </r>
    <r>
      <rPr>
        <b/>
        <sz val="10"/>
        <color theme="1"/>
        <rFont val="Arial Narrow"/>
        <family val="2"/>
      </rPr>
      <t>monitoring</t>
    </r>
    <r>
      <rPr>
        <sz val="10"/>
        <color theme="1"/>
        <rFont val="Arial Narrow"/>
        <family val="2"/>
      </rPr>
      <t xml:space="preserve"> established for turning/repositioning, turning wedge/pillows, slip/turn sheet, airbed with setting, w/c cushion use, heel pro/boots, geri-sleeves, derma-legs, res participation/refusal, education/re-education? </t>
    </r>
  </si>
  <si>
    <r>
      <rPr>
        <b/>
        <sz val="10"/>
        <color theme="1"/>
        <rFont val="Arial Narrow"/>
        <family val="2"/>
      </rPr>
      <t xml:space="preserve">15) </t>
    </r>
    <r>
      <rPr>
        <sz val="10"/>
        <color theme="1"/>
        <rFont val="Arial Narrow"/>
        <family val="2"/>
      </rPr>
      <t xml:space="preserve">Do observations validate the </t>
    </r>
    <r>
      <rPr>
        <b/>
        <sz val="10"/>
        <color theme="1"/>
        <rFont val="Arial Narrow"/>
        <family val="2"/>
      </rPr>
      <t>plan was implemented</t>
    </r>
    <r>
      <rPr>
        <sz val="10"/>
        <color theme="1"/>
        <rFont val="Arial Narrow"/>
        <family val="2"/>
      </rPr>
      <t xml:space="preserve"> consistently? Was the plan reassessed for effectiveness and documented? If indicated was the plan adjusted?
</t>
    </r>
  </si>
  <si>
    <t>Did not observe process</t>
  </si>
  <si>
    <r>
      <rPr>
        <b/>
        <sz val="10"/>
        <color theme="1"/>
        <rFont val="Arial Narrow"/>
        <family val="2"/>
      </rPr>
      <t xml:space="preserve">16) </t>
    </r>
    <r>
      <rPr>
        <sz val="10"/>
        <color theme="1"/>
        <rFont val="Arial Narrow"/>
        <family val="2"/>
      </rPr>
      <t xml:space="preserve">Does weekly </t>
    </r>
    <r>
      <rPr>
        <b/>
        <sz val="10"/>
        <color theme="1"/>
        <rFont val="Arial Narrow"/>
        <family val="2"/>
      </rPr>
      <t>oversight committee</t>
    </r>
    <r>
      <rPr>
        <sz val="10"/>
        <color theme="1"/>
        <rFont val="Arial Narrow"/>
        <family val="2"/>
      </rPr>
      <t xml:space="preserve"> show evidence of wound documentation review to include third-party notes, resident non-compliance, new wounds RCA, change of condition residents newly at risk, follow-up notification to practitioner and resident advocate, evident of IDT involvement?
</t>
    </r>
  </si>
  <si>
    <t>Did not review</t>
  </si>
  <si>
    <r>
      <t xml:space="preserve">Observation Directions: </t>
    </r>
    <r>
      <rPr>
        <sz val="12"/>
        <color theme="1"/>
        <rFont val="Arial Narrow"/>
        <family val="2"/>
      </rPr>
      <t>Score the facility as a whole. If not applicable, select "N/A"</t>
    </r>
    <r>
      <rPr>
        <b/>
        <sz val="12"/>
        <color theme="1"/>
        <rFont val="Arial Narrow"/>
        <family val="2"/>
      </rPr>
      <t>.</t>
    </r>
  </si>
  <si>
    <r>
      <rPr>
        <b/>
        <sz val="10"/>
        <color theme="1"/>
        <rFont val="Arial Narrow"/>
        <family val="2"/>
      </rPr>
      <t>17)</t>
    </r>
    <r>
      <rPr>
        <sz val="10"/>
        <color theme="1"/>
        <rFont val="Arial Narrow"/>
        <family val="2"/>
      </rPr>
      <t xml:space="preserve"> Was dressing removed intact, dated, initialed, supplies as ordered? Does the wound look infected? Was treatment completed per prescriber's order and with acceptable </t>
    </r>
    <r>
      <rPr>
        <b/>
        <sz val="10"/>
        <color theme="1"/>
        <rFont val="Arial Narrow"/>
        <family val="2"/>
      </rPr>
      <t>clinical standards</t>
    </r>
    <r>
      <rPr>
        <sz val="10"/>
        <color theme="1"/>
        <rFont val="Arial Narrow"/>
        <family val="2"/>
      </rPr>
      <t xml:space="preserve"> of practice to include EBP, hand hygiene, glove use, gown use, if multiple wounds the most contaminated ulcer treated last? Did resident show evidence of pain? Was it addressed?</t>
    </r>
  </si>
  <si>
    <r>
      <rPr>
        <b/>
        <sz val="10"/>
        <color theme="1"/>
        <rFont val="Arial Narrow"/>
        <family val="2"/>
      </rPr>
      <t xml:space="preserve">18) </t>
    </r>
    <r>
      <rPr>
        <sz val="10"/>
        <color theme="1"/>
        <rFont val="Arial Narrow"/>
        <family val="2"/>
      </rPr>
      <t xml:space="preserve">Clean wound dressing supplies are handled to prevent </t>
    </r>
    <r>
      <rPr>
        <b/>
        <sz val="10"/>
        <color theme="1"/>
        <rFont val="Arial Narrow"/>
        <family val="2"/>
      </rPr>
      <t>cross-contamination</t>
    </r>
    <r>
      <rPr>
        <sz val="10"/>
        <color theme="1"/>
        <rFont val="Arial Narrow"/>
        <family val="2"/>
      </rPr>
      <t>? Were applicable areas reviewed to include treatment cart remains outside res room, unused supplies taken into room are discarded/stored under clean conditions in room, creams/ointments are dedicated to a single res?</t>
    </r>
  </si>
  <si>
    <r>
      <rPr>
        <b/>
        <sz val="10"/>
        <color theme="1"/>
        <rFont val="Arial Narrow"/>
        <family val="2"/>
      </rPr>
      <t>19)</t>
    </r>
    <r>
      <rPr>
        <sz val="10"/>
        <color theme="1"/>
        <rFont val="Arial Narrow"/>
        <family val="2"/>
      </rPr>
      <t xml:space="preserve"> Is the resident </t>
    </r>
    <r>
      <rPr>
        <b/>
        <sz val="10"/>
        <color theme="1"/>
        <rFont val="Arial Narrow"/>
        <family val="2"/>
      </rPr>
      <t>turned/repositioned</t>
    </r>
    <r>
      <rPr>
        <sz val="10"/>
        <color theme="1"/>
        <rFont val="Arial Narrow"/>
        <family val="2"/>
      </rPr>
      <t xml:space="preserve"> timely, pressure is avoided on actual wound sites, pressure relief devices positioned/set appropriately?</t>
    </r>
  </si>
  <si>
    <r>
      <rPr>
        <b/>
        <sz val="10"/>
        <color theme="1"/>
        <rFont val="Arial Narrow"/>
        <family val="2"/>
      </rPr>
      <t>20) Interview resident</t>
    </r>
    <r>
      <rPr>
        <sz val="10"/>
        <color theme="1"/>
        <rFont val="Arial Narrow"/>
        <family val="2"/>
      </rPr>
      <t xml:space="preserve"> to identify if they have been educated regarding their wound and/or risk of wound development? How often are your dressing changed or is treatment applied? Does your wound hurt? How is your wound pain managed? If applicable, your record shows you refuse your boots, what other options did staff provide you?</t>
    </r>
  </si>
  <si>
    <t>Skin Integirty &amp; Wounds Total Possible Score:</t>
  </si>
  <si>
    <r>
      <rPr>
        <b/>
        <sz val="10"/>
        <color theme="1"/>
        <rFont val="Arial Narrow"/>
        <family val="2"/>
      </rPr>
      <t xml:space="preserve">1) </t>
    </r>
    <r>
      <rPr>
        <sz val="10"/>
        <color theme="1"/>
        <rFont val="Arial Narrow"/>
        <family val="2"/>
      </rPr>
      <t>What, when, and to whom do you report changes in skin condition?</t>
    </r>
  </si>
  <si>
    <r>
      <rPr>
        <b/>
        <sz val="10"/>
        <color theme="1"/>
        <rFont val="Arial Narrow"/>
        <family val="2"/>
      </rPr>
      <t xml:space="preserve">2) </t>
    </r>
    <r>
      <rPr>
        <sz val="10"/>
        <color theme="1"/>
        <rFont val="Arial Narrow"/>
        <family val="2"/>
      </rPr>
      <t>How do you know where the resident wound is located?</t>
    </r>
  </si>
  <si>
    <r>
      <rPr>
        <b/>
        <sz val="10"/>
        <color theme="1"/>
        <rFont val="Arial Narrow"/>
        <family val="2"/>
      </rPr>
      <t xml:space="preserve">3) </t>
    </r>
    <r>
      <rPr>
        <sz val="10"/>
        <color theme="1"/>
        <rFont val="Arial Narrow"/>
        <family val="2"/>
      </rPr>
      <t>Are there any special directives or precautions related to the resident's wound?</t>
    </r>
  </si>
  <si>
    <r>
      <rPr>
        <b/>
        <sz val="10"/>
        <color theme="1"/>
        <rFont val="Arial Narrow"/>
        <family val="2"/>
      </rPr>
      <t xml:space="preserve">4) </t>
    </r>
    <r>
      <rPr>
        <sz val="10"/>
        <color theme="1"/>
        <rFont val="Arial Narrow"/>
        <family val="2"/>
      </rPr>
      <t>How do you identify if the resident has pain related to their wound?</t>
    </r>
  </si>
  <si>
    <r>
      <rPr>
        <b/>
        <sz val="10"/>
        <color theme="1"/>
        <rFont val="Arial Narrow"/>
        <family val="2"/>
      </rPr>
      <t>5)</t>
    </r>
    <r>
      <rPr>
        <sz val="10"/>
        <color theme="1"/>
        <rFont val="Arial Narrow"/>
        <family val="2"/>
      </rPr>
      <t xml:space="preserve"> What is your role in addressing the resident's pain?</t>
    </r>
  </si>
  <si>
    <r>
      <rPr>
        <b/>
        <sz val="10"/>
        <color theme="1"/>
        <rFont val="Arial Narrow"/>
        <family val="2"/>
      </rPr>
      <t>6)</t>
    </r>
    <r>
      <rPr>
        <sz val="10"/>
        <color theme="1"/>
        <rFont val="Arial Narrow"/>
        <family val="2"/>
      </rPr>
      <t xml:space="preserve"> What do you do if the resident refuses care?</t>
    </r>
  </si>
  <si>
    <r>
      <t xml:space="preserve">7) </t>
    </r>
    <r>
      <rPr>
        <sz val="10"/>
        <color theme="1"/>
        <rFont val="Arial Narrow"/>
        <family val="2"/>
      </rPr>
      <t>How do you know if the care plan interventions are effective?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</si>
</sst>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36">
    <font>
      <sz val="11"/>
      <color theme="1"/>
      <name val="Calibri"/>
      <family val="2"/>
      <scheme val="minor"/>
    </font>
    <font>
      <sz val="10"/>
      <color theme="1"/>
      <name val="Arial Narrow"/>
      <family val="2"/>
    </font>
    <font>
      <sz val="11"/>
      <color theme="1"/>
      <name val="Arial Narrow"/>
      <family val="2"/>
    </font>
    <font>
      <b/>
      <sz val="14"/>
      <color theme="1"/>
      <name val="Arial Narrow"/>
      <family val="2"/>
    </font>
    <font>
      <b/>
      <sz val="10"/>
      <color theme="1"/>
      <name val="Arial Narrow"/>
      <family val="2"/>
    </font>
    <font>
      <b/>
      <sz val="12"/>
      <color theme="1"/>
      <name val="Arial Narrow"/>
      <family val="2"/>
    </font>
    <font>
      <u/>
      <sz val="10"/>
      <color theme="1"/>
      <name val="Arial Narrow"/>
      <family val="2"/>
    </font>
    <font>
      <sz val="8"/>
      <color theme="1"/>
      <name val="Arial Narrow"/>
      <family val="2"/>
    </font>
    <font>
      <sz val="10"/>
      <name val="Arial"/>
      <family val="2"/>
    </font>
    <font>
      <sz val="10"/>
      <color theme="1"/>
      <name val="Arial"/>
      <family val="2"/>
    </font>
    <font>
      <sz val="11"/>
      <color theme="1"/>
      <name val="Calibri"/>
      <family val="2"/>
    </font>
    <font>
      <b/>
      <sz val="11"/>
      <color theme="1"/>
      <name val="Calibri"/>
      <family val="2"/>
    </font>
    <font>
      <sz val="11"/>
      <color rgb="FFBDD6EE"/>
      <name val="Calibri"/>
      <family val="2"/>
    </font>
    <font>
      <sz val="10"/>
      <color rgb="FFBDD6EE"/>
      <name val="Arial"/>
      <family val="2"/>
    </font>
    <font>
      <u/>
      <sz val="10"/>
      <color rgb="FF0000FF"/>
      <name val="Arial"/>
      <family val="2"/>
    </font>
    <font>
      <b/>
      <i/>
      <sz val="11"/>
      <color theme="1"/>
      <name val="Calibri"/>
      <family val="2"/>
    </font>
    <font>
      <i/>
      <sz val="11"/>
      <color theme="1"/>
      <name val="Calibri"/>
      <family val="2"/>
    </font>
    <font>
      <i/>
      <sz val="10"/>
      <color theme="1"/>
      <name val="Arial"/>
      <family val="2"/>
    </font>
    <font>
      <sz val="11"/>
      <color theme="1"/>
      <name val="Calibri"/>
      <family val="2"/>
      <scheme val="minor"/>
    </font>
    <font>
      <sz val="11"/>
      <name val="Calibri"/>
      <family val="2"/>
    </font>
    <font>
      <b/>
      <i/>
      <sz val="14"/>
      <color theme="1"/>
      <name val="Arial Narrow"/>
      <family val="2"/>
    </font>
    <font>
      <sz val="12"/>
      <color theme="1"/>
      <name val="Arial Narrow"/>
      <family val="2"/>
    </font>
    <font>
      <b/>
      <sz val="11"/>
      <color theme="1"/>
      <name val="Arial Narrow"/>
      <family val="2"/>
    </font>
    <font>
      <b/>
      <sz val="12"/>
      <color theme="1"/>
      <name val="Arial Nova"/>
      <family val="2"/>
    </font>
    <font>
      <sz val="9"/>
      <color indexed="81"/>
      <name val="Tahoma"/>
      <family val="2"/>
    </font>
    <font>
      <b/>
      <sz val="14"/>
      <color rgb="FF000000"/>
      <name val="Arial Narrow"/>
      <family val="2"/>
    </font>
    <font>
      <b/>
      <i/>
      <sz val="14"/>
      <color rgb="FF000000"/>
      <name val="Arial Narrow"/>
      <family val="2"/>
    </font>
    <font>
      <sz val="11"/>
      <color rgb="FF242424"/>
      <name val="Aptos Narrow"/>
      <family val="2"/>
    </font>
    <font>
      <b/>
      <sz val="9"/>
      <color indexed="81"/>
      <name val="Tahoma"/>
      <family val="2"/>
    </font>
    <font>
      <sz val="11"/>
      <color rgb="FFFF0000"/>
      <name val="Calibri"/>
      <family val="2"/>
      <scheme val="minor"/>
    </font>
    <font>
      <sz val="10"/>
      <color rgb="FFFF0000"/>
      <name val="Arial Narrow"/>
      <family val="2"/>
    </font>
    <font>
      <sz val="8"/>
      <color rgb="FFFF0000"/>
      <name val="Arial Narrow"/>
      <family val="2"/>
    </font>
    <font>
      <b/>
      <sz val="11"/>
      <color theme="1"/>
      <name val="Calibri"/>
      <family val="2"/>
      <scheme val="minor"/>
    </font>
    <font>
      <i/>
      <sz val="11"/>
      <color theme="1"/>
      <name val="Calibri"/>
      <family val="2"/>
      <scheme val="minor"/>
    </font>
    <font>
      <b/>
      <sz val="14"/>
      <color theme="1"/>
      <name val="Calibri"/>
      <family val="2"/>
      <scheme val="minor"/>
    </font>
    <font>
      <b/>
      <sz val="10"/>
      <color theme="1"/>
      <name val="Calibri"/>
      <family val="2"/>
      <scheme val="minor"/>
    </font>
  </fonts>
  <fills count="14">
    <fill>
      <patternFill patternType="none"/>
    </fill>
    <fill>
      <patternFill patternType="gray125"/>
    </fill>
    <fill>
      <patternFill patternType="solid">
        <fgColor rgb="FFBDD6EE"/>
        <bgColor rgb="FFBDD6EE"/>
      </patternFill>
    </fill>
    <fill>
      <patternFill patternType="solid">
        <fgColor rgb="FFDEEAF6"/>
        <bgColor rgb="FFDEEAF6"/>
      </patternFill>
    </fill>
    <fill>
      <patternFill patternType="solid">
        <fgColor theme="8" tint="0.79998168889431442"/>
        <bgColor indexed="64"/>
      </patternFill>
    </fill>
    <fill>
      <patternFill patternType="solid">
        <fgColor theme="8" tint="0.59999389629810485"/>
        <bgColor rgb="FFBDD6EE"/>
      </patternFill>
    </fill>
    <fill>
      <patternFill patternType="solid">
        <fgColor theme="0"/>
        <bgColor indexed="64"/>
      </patternFill>
    </fill>
    <fill>
      <patternFill patternType="solid">
        <fgColor theme="9" tint="0.79998168889431442"/>
        <bgColor rgb="FFBDD6EE"/>
      </patternFill>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0"/>
        <bgColor rgb="FFDEEAF6"/>
      </patternFill>
    </fill>
    <fill>
      <patternFill patternType="solid">
        <fgColor theme="8" tint="0.79998168889431442"/>
        <bgColor rgb="FFBDD6EE"/>
      </patternFill>
    </fill>
    <fill>
      <patternFill patternType="solid">
        <fgColor theme="9" tint="0.59999389629810485"/>
        <bgColor indexed="64"/>
      </patternFill>
    </fill>
  </fills>
  <borders count="2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BDD6EE"/>
      </left>
      <right/>
      <top style="thin">
        <color rgb="FFBDD6EE"/>
      </top>
      <bottom/>
      <diagonal/>
    </border>
    <border>
      <left/>
      <right/>
      <top style="thin">
        <color rgb="FFBDD6EE"/>
      </top>
      <bottom/>
      <diagonal/>
    </border>
    <border>
      <left/>
      <right style="thin">
        <color rgb="FFBDD6EE"/>
      </right>
      <top style="thin">
        <color rgb="FFBDD6EE"/>
      </top>
      <bottom/>
      <diagonal/>
    </border>
    <border>
      <left style="thin">
        <color rgb="FFBDD6EE"/>
      </left>
      <right/>
      <top/>
      <bottom/>
      <diagonal/>
    </border>
    <border>
      <left/>
      <right style="thin">
        <color rgb="FFBDD6EE"/>
      </right>
      <top/>
      <bottom/>
      <diagonal/>
    </border>
    <border>
      <left/>
      <right/>
      <top style="thin">
        <color indexed="64"/>
      </top>
      <bottom/>
      <diagonal/>
    </border>
  </borders>
  <cellStyleXfs count="3">
    <xf numFmtId="0" fontId="0" fillId="0" borderId="0"/>
    <xf numFmtId="43" fontId="18" fillId="0" borderId="0" applyFont="0" applyFill="0" applyBorder="0" applyAlignment="0" applyProtection="0"/>
    <xf numFmtId="9" fontId="18" fillId="0" borderId="0" applyFont="0" applyFill="0" applyBorder="0" applyAlignment="0" applyProtection="0"/>
  </cellStyleXfs>
  <cellXfs count="234">
    <xf numFmtId="0" fontId="0" fillId="0" borderId="0" xfId="0"/>
    <xf numFmtId="0" fontId="1" fillId="0" borderId="2" xfId="0" applyFont="1" applyBorder="1" applyAlignment="1">
      <alignment vertical="center"/>
    </xf>
    <xf numFmtId="0" fontId="2" fillId="0" borderId="0" xfId="0" applyFont="1"/>
    <xf numFmtId="0" fontId="2" fillId="0" borderId="1" xfId="0" applyFont="1" applyBorder="1"/>
    <xf numFmtId="0" fontId="2" fillId="0" borderId="0" xfId="0" applyFont="1" applyAlignment="1">
      <alignment horizontal="center"/>
    </xf>
    <xf numFmtId="0" fontId="3" fillId="0" borderId="0" xfId="0" applyFont="1" applyAlignment="1">
      <alignment horizontal="center"/>
    </xf>
    <xf numFmtId="0" fontId="1" fillId="0" borderId="0" xfId="0" applyFont="1"/>
    <xf numFmtId="0" fontId="1" fillId="0" borderId="2" xfId="0" applyFont="1" applyBorder="1" applyAlignment="1">
      <alignment horizontal="center" vertical="center"/>
    </xf>
    <xf numFmtId="0" fontId="1" fillId="0" borderId="0" xfId="0" applyFont="1" applyAlignment="1">
      <alignment horizontal="center"/>
    </xf>
    <xf numFmtId="0" fontId="7" fillId="0" borderId="0" xfId="0" applyFont="1"/>
    <xf numFmtId="0" fontId="7" fillId="0" borderId="0" xfId="0" applyFont="1" applyAlignment="1">
      <alignment horizontal="center"/>
    </xf>
    <xf numFmtId="0" fontId="4" fillId="0" borderId="2" xfId="0" applyFont="1" applyBorder="1" applyAlignment="1">
      <alignment horizontal="center" vertical="center"/>
    </xf>
    <xf numFmtId="49" fontId="1" fillId="0" borderId="2" xfId="0" applyNumberFormat="1" applyFont="1" applyBorder="1" applyAlignment="1">
      <alignment horizontal="left" vertical="center" wrapText="1"/>
    </xf>
    <xf numFmtId="0" fontId="1" fillId="6" borderId="0" xfId="0" applyFont="1" applyFill="1"/>
    <xf numFmtId="0" fontId="2" fillId="6" borderId="0" xfId="0" applyFont="1" applyFill="1"/>
    <xf numFmtId="0" fontId="3" fillId="0" borderId="0" xfId="0" applyFont="1" applyAlignment="1">
      <alignment vertical="center" wrapText="1"/>
    </xf>
    <xf numFmtId="0" fontId="0" fillId="0" borderId="0" xfId="0" applyAlignment="1">
      <alignment horizontal="center"/>
    </xf>
    <xf numFmtId="0" fontId="2" fillId="0" borderId="0" xfId="0" applyFont="1" applyAlignment="1">
      <alignment horizontal="right"/>
    </xf>
    <xf numFmtId="49" fontId="1" fillId="0" borderId="2" xfId="0" applyNumberFormat="1" applyFont="1" applyBorder="1" applyAlignment="1">
      <alignment horizontal="center" vertical="center" wrapText="1"/>
    </xf>
    <xf numFmtId="49" fontId="1" fillId="0" borderId="0" xfId="0" applyNumberFormat="1" applyFont="1" applyAlignment="1">
      <alignment horizontal="left" vertical="top"/>
    </xf>
    <xf numFmtId="49" fontId="1" fillId="8" borderId="2" xfId="0" applyNumberFormat="1" applyFont="1" applyFill="1" applyBorder="1" applyAlignment="1">
      <alignment horizontal="left" vertical="center" wrapText="1"/>
    </xf>
    <xf numFmtId="49" fontId="1" fillId="8"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7" fillId="0" borderId="0" xfId="0" applyFont="1"/>
    <xf numFmtId="0" fontId="7" fillId="0" borderId="0" xfId="0" applyFont="1" applyAlignment="1">
      <alignment horizontal="left" vertical="center"/>
    </xf>
    <xf numFmtId="49" fontId="0" fillId="0" borderId="0" xfId="0" applyNumberFormat="1"/>
    <xf numFmtId="0" fontId="0" fillId="9" borderId="2" xfId="0" applyFill="1" applyBorder="1" applyAlignment="1">
      <alignment horizontal="center"/>
    </xf>
    <xf numFmtId="0" fontId="0" fillId="0" borderId="2" xfId="0" applyBorder="1" applyAlignment="1">
      <alignment horizontal="center"/>
    </xf>
    <xf numFmtId="0" fontId="0" fillId="9" borderId="3" xfId="0" applyFill="1" applyBorder="1" applyAlignment="1">
      <alignment horizontal="center"/>
    </xf>
    <xf numFmtId="0" fontId="29" fillId="0" borderId="0" xfId="0" applyFont="1"/>
    <xf numFmtId="0" fontId="30" fillId="0" borderId="0" xfId="0" applyFont="1"/>
    <xf numFmtId="0" fontId="31" fillId="0" borderId="0" xfId="0" applyFont="1"/>
    <xf numFmtId="0" fontId="10" fillId="2" borderId="18" xfId="0" applyFont="1" applyFill="1" applyBorder="1" applyProtection="1">
      <protection locked="0"/>
    </xf>
    <xf numFmtId="0" fontId="9" fillId="2" borderId="0" xfId="0" applyFont="1" applyFill="1" applyAlignment="1" applyProtection="1">
      <alignment horizontal="center"/>
      <protection locked="0"/>
    </xf>
    <xf numFmtId="0" fontId="14" fillId="2" borderId="0" xfId="0" applyFont="1" applyFill="1" applyAlignment="1" applyProtection="1">
      <alignment horizontal="center"/>
      <protection locked="0"/>
    </xf>
    <xf numFmtId="164" fontId="10" fillId="2" borderId="0" xfId="0" applyNumberFormat="1" applyFont="1" applyFill="1" applyProtection="1">
      <protection locked="0"/>
    </xf>
    <xf numFmtId="9" fontId="16" fillId="5" borderId="17" xfId="0" applyNumberFormat="1" applyFont="1" applyFill="1" applyBorder="1" applyAlignment="1" applyProtection="1">
      <alignment horizontal="right"/>
      <protection locked="0"/>
    </xf>
    <xf numFmtId="9" fontId="16" fillId="5" borderId="0" xfId="0" applyNumberFormat="1" applyFont="1" applyFill="1" applyAlignment="1" applyProtection="1">
      <alignment horizontal="right"/>
      <protection locked="0"/>
    </xf>
    <xf numFmtId="17" fontId="0" fillId="0" borderId="0" xfId="0" applyNumberFormat="1"/>
    <xf numFmtId="0" fontId="9" fillId="2" borderId="0" xfId="0" applyFont="1" applyFill="1" applyAlignment="1">
      <alignment horizontal="left" vertical="center"/>
    </xf>
    <xf numFmtId="0" fontId="12" fillId="2" borderId="15" xfId="0" applyFont="1" applyFill="1" applyBorder="1"/>
    <xf numFmtId="0" fontId="10" fillId="2" borderId="16" xfId="0" applyFont="1" applyFill="1" applyBorder="1"/>
    <xf numFmtId="0" fontId="10" fillId="2" borderId="0" xfId="0" applyFont="1" applyFill="1"/>
    <xf numFmtId="0" fontId="10" fillId="2" borderId="18" xfId="0" applyFont="1" applyFill="1" applyBorder="1"/>
    <xf numFmtId="0" fontId="9" fillId="2" borderId="0" xfId="0" applyFont="1" applyFill="1" applyAlignment="1">
      <alignment horizontal="right" vertical="center"/>
    </xf>
    <xf numFmtId="0" fontId="13" fillId="2" borderId="0" xfId="0" applyFont="1" applyFill="1" applyAlignment="1">
      <alignment horizontal="center"/>
    </xf>
    <xf numFmtId="0" fontId="12" fillId="2" borderId="17" xfId="0" applyFont="1" applyFill="1" applyBorder="1"/>
    <xf numFmtId="0" fontId="12" fillId="2" borderId="0" xfId="0" applyFont="1" applyFill="1"/>
    <xf numFmtId="1" fontId="12" fillId="2" borderId="0" xfId="0" applyNumberFormat="1" applyFont="1" applyFill="1" applyAlignment="1">
      <alignment horizontal="center"/>
    </xf>
    <xf numFmtId="0" fontId="12" fillId="2" borderId="18" xfId="0" applyFont="1" applyFill="1" applyBorder="1"/>
    <xf numFmtId="0" fontId="32" fillId="0" borderId="0" xfId="0" applyFont="1"/>
    <xf numFmtId="0" fontId="33" fillId="0" borderId="0" xfId="0" applyFont="1"/>
    <xf numFmtId="0" fontId="4" fillId="0" borderId="13" xfId="0" applyFont="1" applyBorder="1" applyAlignment="1" applyProtection="1">
      <alignment horizontal="center" vertical="center" wrapText="1"/>
      <protection locked="0"/>
    </xf>
    <xf numFmtId="0" fontId="4" fillId="0" borderId="6" xfId="0" applyFont="1" applyBorder="1" applyAlignment="1" applyProtection="1">
      <alignment horizontal="center" vertical="center" wrapText="1"/>
      <protection locked="0"/>
    </xf>
    <xf numFmtId="0" fontId="4" fillId="0" borderId="2" xfId="0" applyFont="1" applyBorder="1" applyAlignment="1" applyProtection="1">
      <alignment horizontal="center" vertical="center" wrapText="1"/>
      <protection locked="0"/>
    </xf>
    <xf numFmtId="0" fontId="4" fillId="0" borderId="4" xfId="0" applyFont="1" applyBorder="1" applyAlignment="1" applyProtection="1">
      <alignment horizontal="center" vertical="center" wrapText="1"/>
      <protection locked="0"/>
    </xf>
    <xf numFmtId="0" fontId="4" fillId="10" borderId="2" xfId="0" applyFont="1" applyFill="1" applyBorder="1" applyAlignment="1" applyProtection="1">
      <alignment horizontal="center" vertical="center" wrapText="1"/>
      <protection locked="0"/>
    </xf>
    <xf numFmtId="0" fontId="3" fillId="0" borderId="0" xfId="0" applyFont="1" applyAlignment="1" applyProtection="1">
      <alignment horizontal="center"/>
      <protection locked="0"/>
    </xf>
    <xf numFmtId="0" fontId="4" fillId="0" borderId="2" xfId="0" applyFont="1" applyBorder="1" applyAlignment="1" applyProtection="1">
      <alignment horizontal="center" wrapText="1"/>
      <protection locked="0"/>
    </xf>
    <xf numFmtId="0" fontId="4" fillId="0" borderId="2" xfId="0" applyFont="1" applyBorder="1" applyAlignment="1" applyProtection="1">
      <alignment horizontal="center"/>
      <protection locked="0"/>
    </xf>
    <xf numFmtId="0" fontId="2" fillId="0" borderId="0" xfId="0" applyFont="1" applyProtection="1">
      <protection locked="0"/>
    </xf>
    <xf numFmtId="0" fontId="2" fillId="0" borderId="0" xfId="0" applyFont="1" applyAlignment="1" applyProtection="1">
      <alignment horizontal="center"/>
      <protection locked="0"/>
    </xf>
    <xf numFmtId="0" fontId="3" fillId="0" borderId="0" xfId="0" applyFont="1" applyAlignment="1" applyProtection="1">
      <alignment vertical="center" wrapText="1"/>
      <protection locked="0"/>
    </xf>
    <xf numFmtId="0" fontId="22" fillId="4" borderId="2" xfId="0" applyFont="1" applyFill="1" applyBorder="1" applyAlignment="1" applyProtection="1">
      <alignment horizontal="right"/>
      <protection locked="0"/>
    </xf>
    <xf numFmtId="0" fontId="5" fillId="4" borderId="2" xfId="0" applyFont="1" applyFill="1" applyBorder="1" applyAlignment="1" applyProtection="1">
      <alignment horizontal="right"/>
      <protection locked="0"/>
    </xf>
    <xf numFmtId="0" fontId="8" fillId="6" borderId="0" xfId="0" applyFont="1" applyFill="1" applyAlignment="1">
      <alignment horizontal="center"/>
    </xf>
    <xf numFmtId="0" fontId="8" fillId="6" borderId="0" xfId="0" applyFont="1" applyFill="1"/>
    <xf numFmtId="0" fontId="8" fillId="6" borderId="0" xfId="0" applyFont="1" applyFill="1" applyAlignment="1">
      <alignment horizontal="right"/>
    </xf>
    <xf numFmtId="0" fontId="19" fillId="2" borderId="14" xfId="0" applyFont="1" applyFill="1" applyBorder="1" applyAlignment="1">
      <alignment horizontal="right" vertical="center"/>
    </xf>
    <xf numFmtId="0" fontId="10" fillId="2" borderId="17" xfId="0" applyFont="1" applyFill="1" applyBorder="1" applyAlignment="1">
      <alignment horizontal="right" vertical="center"/>
    </xf>
    <xf numFmtId="0" fontId="11" fillId="2" borderId="17" xfId="0" applyFont="1" applyFill="1" applyBorder="1" applyAlignment="1">
      <alignment horizontal="center" wrapText="1"/>
    </xf>
    <xf numFmtId="0" fontId="11" fillId="2" borderId="0" xfId="0" applyFont="1" applyFill="1" applyAlignment="1">
      <alignment horizontal="center" wrapText="1"/>
    </xf>
    <xf numFmtId="0" fontId="11" fillId="2" borderId="0" xfId="0" applyFont="1" applyFill="1" applyAlignment="1">
      <alignment horizontal="center" vertical="center" wrapText="1"/>
    </xf>
    <xf numFmtId="0" fontId="11" fillId="2" borderId="0" xfId="0" applyFont="1" applyFill="1" applyAlignment="1">
      <alignment horizontal="center" vertical="center"/>
    </xf>
    <xf numFmtId="0" fontId="10" fillId="0" borderId="17" xfId="0" applyFont="1" applyBorder="1" applyAlignment="1">
      <alignment horizontal="center" vertical="top" wrapText="1"/>
    </xf>
    <xf numFmtId="0" fontId="10" fillId="0" borderId="0" xfId="0" applyFont="1" applyAlignment="1">
      <alignment horizontal="center" vertical="top" wrapText="1"/>
    </xf>
    <xf numFmtId="1" fontId="10" fillId="0" borderId="0" xfId="0" applyNumberFormat="1" applyFont="1" applyAlignment="1">
      <alignment horizontal="center" vertical="center"/>
    </xf>
    <xf numFmtId="164" fontId="10" fillId="0" borderId="0" xfId="0" applyNumberFormat="1" applyFont="1" applyAlignment="1">
      <alignment horizontal="center" vertical="center"/>
    </xf>
    <xf numFmtId="0" fontId="10" fillId="3" borderId="17" xfId="0" applyFont="1" applyFill="1" applyBorder="1" applyAlignment="1">
      <alignment horizontal="center" vertical="top" wrapText="1"/>
    </xf>
    <xf numFmtId="0" fontId="10" fillId="3" borderId="0" xfId="0" applyFont="1" applyFill="1" applyAlignment="1">
      <alignment horizontal="center" vertical="top" wrapText="1"/>
    </xf>
    <xf numFmtId="49" fontId="10" fillId="3" borderId="0" xfId="0" applyNumberFormat="1" applyFont="1" applyFill="1" applyAlignment="1">
      <alignment horizontal="center" vertical="center"/>
    </xf>
    <xf numFmtId="164" fontId="10" fillId="4" borderId="0" xfId="0" applyNumberFormat="1" applyFont="1" applyFill="1" applyAlignment="1">
      <alignment horizontal="center" vertical="center"/>
    </xf>
    <xf numFmtId="0" fontId="10" fillId="4" borderId="17" xfId="0" applyFont="1" applyFill="1" applyBorder="1" applyAlignment="1">
      <alignment horizontal="center" vertical="top" wrapText="1"/>
    </xf>
    <xf numFmtId="0" fontId="10" fillId="4" borderId="0" xfId="0" applyFont="1" applyFill="1" applyAlignment="1">
      <alignment horizontal="center" vertical="top" wrapText="1"/>
    </xf>
    <xf numFmtId="49" fontId="10" fillId="4" borderId="0" xfId="0" applyNumberFormat="1" applyFont="1" applyFill="1" applyAlignment="1">
      <alignment horizontal="center" vertical="center"/>
    </xf>
    <xf numFmtId="0" fontId="11" fillId="11" borderId="17" xfId="0" applyFont="1" applyFill="1" applyBorder="1" applyAlignment="1">
      <alignment horizontal="right" vertical="center" wrapText="1"/>
    </xf>
    <xf numFmtId="0" fontId="11" fillId="11" borderId="0" xfId="1" applyNumberFormat="1" applyFont="1" applyFill="1" applyAlignment="1" applyProtection="1">
      <alignment horizontal="center" vertical="center" wrapText="1"/>
    </xf>
    <xf numFmtId="164" fontId="10" fillId="6" borderId="0" xfId="0" applyNumberFormat="1" applyFont="1" applyFill="1" applyAlignment="1">
      <alignment horizontal="center" vertical="center"/>
    </xf>
    <xf numFmtId="9" fontId="15" fillId="2" borderId="17" xfId="0" applyNumberFormat="1" applyFont="1" applyFill="1" applyBorder="1" applyAlignment="1">
      <alignment horizontal="right"/>
    </xf>
    <xf numFmtId="9" fontId="15" fillId="12" borderId="0" xfId="0" applyNumberFormat="1" applyFont="1" applyFill="1" applyAlignment="1">
      <alignment horizontal="center"/>
    </xf>
    <xf numFmtId="164" fontId="10" fillId="2" borderId="0" xfId="0" applyNumberFormat="1" applyFont="1" applyFill="1"/>
    <xf numFmtId="9" fontId="16" fillId="5" borderId="17" xfId="0" applyNumberFormat="1" applyFont="1" applyFill="1" applyBorder="1" applyAlignment="1">
      <alignment horizontal="right"/>
    </xf>
    <xf numFmtId="9" fontId="16" fillId="5" borderId="0" xfId="0" applyNumberFormat="1" applyFont="1" applyFill="1" applyAlignment="1">
      <alignment horizontal="right"/>
    </xf>
    <xf numFmtId="0" fontId="0" fillId="0" borderId="2" xfId="0" applyBorder="1"/>
    <xf numFmtId="0" fontId="35" fillId="0" borderId="2" xfId="0" applyFont="1" applyBorder="1" applyAlignment="1">
      <alignment horizontal="center" vertical="center" wrapText="1"/>
    </xf>
    <xf numFmtId="17" fontId="32" fillId="13" borderId="2" xfId="0" applyNumberFormat="1" applyFont="1" applyFill="1" applyBorder="1"/>
    <xf numFmtId="17" fontId="32" fillId="10" borderId="2" xfId="0" applyNumberFormat="1" applyFont="1" applyFill="1" applyBorder="1"/>
    <xf numFmtId="0" fontId="4" fillId="0" borderId="13" xfId="0" applyFont="1" applyBorder="1" applyAlignment="1">
      <alignment horizontal="center" vertical="center" wrapText="1"/>
    </xf>
    <xf numFmtId="0" fontId="4" fillId="0" borderId="6" xfId="0" applyFont="1" applyBorder="1" applyAlignment="1">
      <alignment horizontal="center" vertical="center" wrapText="1"/>
    </xf>
    <xf numFmtId="0" fontId="4" fillId="0" borderId="2" xfId="0" applyFont="1" applyBorder="1" applyAlignment="1">
      <alignment horizontal="center" vertical="center" wrapText="1"/>
    </xf>
    <xf numFmtId="0" fontId="4" fillId="0" borderId="4" xfId="0" applyFont="1" applyBorder="1" applyAlignment="1">
      <alignment horizontal="center" vertical="center" wrapText="1"/>
    </xf>
    <xf numFmtId="0" fontId="4" fillId="10" borderId="2" xfId="0" applyFont="1" applyFill="1" applyBorder="1" applyAlignment="1">
      <alignment horizontal="center" vertical="center" wrapText="1"/>
    </xf>
    <xf numFmtId="0" fontId="1" fillId="0" borderId="3" xfId="0" applyFont="1" applyBorder="1" applyAlignment="1">
      <alignment horizontal="center" vertical="center"/>
    </xf>
    <xf numFmtId="0" fontId="1" fillId="0" borderId="2" xfId="0" applyFont="1" applyBorder="1" applyAlignment="1">
      <alignment horizontal="center" vertical="center" wrapText="1"/>
    </xf>
    <xf numFmtId="0" fontId="1" fillId="0" borderId="1" xfId="0" applyFont="1" applyBorder="1" applyAlignment="1">
      <alignment horizontal="center" vertical="center" wrapText="1"/>
    </xf>
    <xf numFmtId="0" fontId="5" fillId="4" borderId="2" xfId="0" applyFont="1" applyFill="1" applyBorder="1" applyAlignment="1">
      <alignment horizontal="center"/>
    </xf>
    <xf numFmtId="1" fontId="5" fillId="4" borderId="2" xfId="0" applyNumberFormat="1" applyFont="1" applyFill="1" applyBorder="1" applyAlignment="1">
      <alignment horizontal="center"/>
    </xf>
    <xf numFmtId="0" fontId="4" fillId="0" borderId="2" xfId="0" applyFont="1" applyBorder="1" applyAlignment="1">
      <alignment horizontal="center" wrapText="1"/>
    </xf>
    <xf numFmtId="0" fontId="5" fillId="4" borderId="2" xfId="0" applyFont="1" applyFill="1" applyBorder="1" applyAlignment="1">
      <alignment horizontal="right"/>
    </xf>
    <xf numFmtId="0" fontId="1" fillId="0" borderId="10" xfId="0" applyFont="1" applyBorder="1" applyAlignment="1">
      <alignment horizontal="center" vertical="center"/>
    </xf>
    <xf numFmtId="49" fontId="5" fillId="4" borderId="2" xfId="0" applyNumberFormat="1" applyFont="1" applyFill="1" applyBorder="1" applyAlignment="1">
      <alignment horizontal="center"/>
    </xf>
    <xf numFmtId="0" fontId="22" fillId="10" borderId="2" xfId="0" applyFont="1" applyFill="1" applyBorder="1" applyAlignment="1">
      <alignment horizontal="center" wrapText="1"/>
    </xf>
    <xf numFmtId="0" fontId="22" fillId="10" borderId="2" xfId="0" applyFont="1" applyFill="1" applyBorder="1" applyAlignment="1">
      <alignment horizontal="center" vertical="center" wrapText="1"/>
    </xf>
    <xf numFmtId="0" fontId="22" fillId="4" borderId="2" xfId="0" applyFont="1" applyFill="1" applyBorder="1" applyAlignment="1">
      <alignment horizontal="center"/>
    </xf>
    <xf numFmtId="1" fontId="10" fillId="11" borderId="0" xfId="0" applyNumberFormat="1" applyFont="1" applyFill="1" applyAlignment="1">
      <alignment horizontal="center" vertical="center"/>
    </xf>
    <xf numFmtId="0" fontId="4" fillId="0" borderId="2" xfId="0" applyFont="1" applyBorder="1" applyAlignment="1" applyProtection="1">
      <alignment horizontal="center" vertical="center"/>
      <protection locked="0"/>
    </xf>
    <xf numFmtId="3" fontId="22" fillId="4" borderId="2" xfId="0" applyNumberFormat="1" applyFont="1" applyFill="1" applyBorder="1" applyAlignment="1">
      <alignment horizontal="center"/>
    </xf>
    <xf numFmtId="0" fontId="4" fillId="0" borderId="3" xfId="0" applyFont="1" applyBorder="1" applyAlignment="1">
      <alignment horizontal="center" vertical="center" wrapText="1"/>
    </xf>
    <xf numFmtId="0" fontId="1" fillId="0" borderId="6" xfId="0" applyFont="1" applyBorder="1" applyAlignment="1">
      <alignment horizontal="center" vertical="center" wrapText="1"/>
    </xf>
    <xf numFmtId="0" fontId="1" fillId="0" borderId="3" xfId="0" applyFont="1" applyBorder="1" applyAlignment="1">
      <alignment horizontal="center" vertical="center" wrapText="1"/>
    </xf>
    <xf numFmtId="0" fontId="4" fillId="0" borderId="3" xfId="0" applyFont="1" applyBorder="1" applyAlignment="1">
      <alignment horizontal="center" vertical="center"/>
    </xf>
    <xf numFmtId="164" fontId="0" fillId="13" borderId="2" xfId="2" applyNumberFormat="1" applyFont="1" applyFill="1" applyBorder="1" applyAlignment="1">
      <alignment horizontal="center" vertical="center"/>
    </xf>
    <xf numFmtId="164" fontId="0" fillId="10" borderId="2" xfId="2" applyNumberFormat="1" applyFont="1" applyFill="1" applyBorder="1" applyAlignment="1">
      <alignment horizontal="center" vertical="center"/>
    </xf>
    <xf numFmtId="164" fontId="33" fillId="13" borderId="2" xfId="2" applyNumberFormat="1" applyFont="1" applyFill="1" applyBorder="1" applyAlignment="1">
      <alignment horizontal="center" vertical="center"/>
    </xf>
    <xf numFmtId="164" fontId="33" fillId="10" borderId="2" xfId="2" applyNumberFormat="1" applyFont="1" applyFill="1" applyBorder="1" applyAlignment="1">
      <alignment horizontal="center" vertical="center"/>
    </xf>
    <xf numFmtId="0" fontId="34" fillId="0" borderId="19" xfId="0" applyFont="1" applyBorder="1" applyAlignment="1">
      <alignment horizontal="center"/>
    </xf>
    <xf numFmtId="0" fontId="35" fillId="0" borderId="2" xfId="0" applyFont="1" applyBorder="1" applyAlignment="1">
      <alignment horizontal="center" vertical="center" wrapText="1"/>
    </xf>
    <xf numFmtId="49" fontId="17" fillId="0" borderId="0" xfId="0" applyNumberFormat="1" applyFont="1" applyAlignment="1">
      <alignment horizontal="center" vertical="top" wrapText="1"/>
    </xf>
    <xf numFmtId="0" fontId="10" fillId="7" borderId="3" xfId="0" applyFont="1" applyFill="1" applyBorder="1" applyAlignment="1">
      <alignment horizontal="center" vertical="center"/>
    </xf>
    <xf numFmtId="14" fontId="10" fillId="7" borderId="3" xfId="0" applyNumberFormat="1" applyFont="1" applyFill="1" applyBorder="1" applyAlignment="1">
      <alignment horizontal="center" vertical="center"/>
    </xf>
    <xf numFmtId="0" fontId="10" fillId="7" borderId="2" xfId="0" applyFont="1" applyFill="1" applyBorder="1" applyAlignment="1">
      <alignment horizontal="center" vertical="center"/>
    </xf>
    <xf numFmtId="164" fontId="0" fillId="13" borderId="2" xfId="2" applyNumberFormat="1" applyFont="1" applyFill="1" applyBorder="1" applyAlignment="1">
      <alignment horizontal="center" vertical="center"/>
    </xf>
    <xf numFmtId="164" fontId="0" fillId="10" borderId="2" xfId="2" applyNumberFormat="1" applyFont="1" applyFill="1" applyBorder="1" applyAlignment="1">
      <alignment horizontal="center" vertical="center"/>
    </xf>
    <xf numFmtId="0" fontId="33" fillId="0" borderId="1" xfId="0" applyFont="1" applyBorder="1" applyAlignment="1">
      <alignment horizontal="center"/>
    </xf>
    <xf numFmtId="1" fontId="4" fillId="4" borderId="3" xfId="0" applyNumberFormat="1" applyFont="1" applyFill="1" applyBorder="1" applyAlignment="1">
      <alignment horizontal="center" vertical="center"/>
    </xf>
    <xf numFmtId="1" fontId="4" fillId="4" borderId="4" xfId="0" applyNumberFormat="1" applyFont="1" applyFill="1" applyBorder="1" applyAlignment="1">
      <alignment horizontal="center" vertical="center"/>
    </xf>
    <xf numFmtId="49" fontId="4" fillId="8" borderId="9" xfId="0" applyNumberFormat="1" applyFont="1" applyFill="1" applyBorder="1" applyAlignment="1" applyProtection="1">
      <alignment horizontal="right" vertical="center" wrapText="1"/>
      <protection locked="0"/>
    </xf>
    <xf numFmtId="49" fontId="4" fillId="8" borderId="12" xfId="0" applyNumberFormat="1" applyFont="1" applyFill="1" applyBorder="1" applyAlignment="1" applyProtection="1">
      <alignment horizontal="right" vertical="center" wrapText="1"/>
      <protection locked="0"/>
    </xf>
    <xf numFmtId="49" fontId="4" fillId="8" borderId="13" xfId="0" applyNumberFormat="1" applyFont="1" applyFill="1" applyBorder="1" applyAlignment="1" applyProtection="1">
      <alignment horizontal="right" vertical="center" wrapText="1"/>
      <protection locked="0"/>
    </xf>
    <xf numFmtId="0" fontId="1" fillId="0" borderId="1" xfId="0" applyFont="1" applyBorder="1" applyAlignment="1">
      <alignment horizontal="center"/>
    </xf>
    <xf numFmtId="0" fontId="25" fillId="4" borderId="2" xfId="0" applyFont="1" applyFill="1" applyBorder="1" applyAlignment="1" applyProtection="1">
      <alignment horizontal="center" vertical="center" wrapText="1"/>
      <protection locked="0"/>
    </xf>
    <xf numFmtId="0" fontId="3" fillId="4" borderId="2" xfId="0" applyFont="1" applyFill="1" applyBorder="1" applyAlignment="1" applyProtection="1">
      <alignment horizontal="center" vertical="center" wrapText="1"/>
      <protection locked="0"/>
    </xf>
    <xf numFmtId="0" fontId="5" fillId="10" borderId="2" xfId="0" applyFont="1" applyFill="1" applyBorder="1" applyAlignment="1" applyProtection="1">
      <alignment horizontal="center" vertical="center" wrapText="1"/>
      <protection locked="0"/>
    </xf>
    <xf numFmtId="0" fontId="5" fillId="10" borderId="12" xfId="0" applyFont="1" applyFill="1" applyBorder="1" applyAlignment="1">
      <alignment horizontal="center" vertical="center" wrapText="1"/>
    </xf>
    <xf numFmtId="49" fontId="1" fillId="0" borderId="2" xfId="0" applyNumberFormat="1" applyFont="1" applyBorder="1" applyAlignment="1" applyProtection="1">
      <alignment horizontal="left" vertical="top" wrapText="1"/>
      <protection locked="0"/>
    </xf>
    <xf numFmtId="49" fontId="1" fillId="0" borderId="9" xfId="0" applyNumberFormat="1" applyFont="1" applyBorder="1" applyAlignment="1" applyProtection="1">
      <alignment horizontal="left" vertical="top" wrapText="1"/>
      <protection locked="0"/>
    </xf>
    <xf numFmtId="49" fontId="1" fillId="0" borderId="3" xfId="0" applyNumberFormat="1" applyFont="1" applyBorder="1" applyAlignment="1" applyProtection="1">
      <alignment horizontal="left" vertical="top" wrapText="1"/>
      <protection locked="0"/>
    </xf>
    <xf numFmtId="49" fontId="1" fillId="0" borderId="5" xfId="0" applyNumberFormat="1" applyFont="1" applyBorder="1" applyAlignment="1" applyProtection="1">
      <alignment horizontal="left" vertical="top" wrapText="1"/>
      <protection locked="0"/>
    </xf>
    <xf numFmtId="49" fontId="1" fillId="0" borderId="12" xfId="0" applyNumberFormat="1" applyFont="1" applyBorder="1" applyAlignment="1" applyProtection="1">
      <alignment horizontal="left" vertical="top" wrapText="1"/>
      <protection locked="0"/>
    </xf>
    <xf numFmtId="49" fontId="1" fillId="0" borderId="13" xfId="0" applyNumberFormat="1" applyFont="1" applyBorder="1" applyAlignment="1" applyProtection="1">
      <alignment horizontal="left" vertical="top" wrapText="1"/>
      <protection locked="0"/>
    </xf>
    <xf numFmtId="0" fontId="4" fillId="0" borderId="2" xfId="0" applyFont="1" applyBorder="1" applyAlignment="1" applyProtection="1">
      <alignment horizontal="left" vertical="top" wrapText="1"/>
      <protection locked="0"/>
    </xf>
    <xf numFmtId="0" fontId="1" fillId="0" borderId="2" xfId="0" applyFont="1" applyBorder="1" applyAlignment="1" applyProtection="1">
      <alignment horizontal="left" vertical="top" wrapText="1"/>
      <protection locked="0"/>
    </xf>
    <xf numFmtId="0" fontId="1" fillId="0" borderId="9" xfId="0" applyFont="1" applyBorder="1" applyAlignment="1" applyProtection="1">
      <alignment horizontal="left" vertical="top" wrapText="1"/>
      <protection locked="0"/>
    </xf>
    <xf numFmtId="0" fontId="1" fillId="0" borderId="12"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49" fontId="4" fillId="0" borderId="9" xfId="0" applyNumberFormat="1" applyFont="1" applyBorder="1" applyAlignment="1" applyProtection="1">
      <alignment horizontal="left" vertical="top" wrapText="1"/>
      <protection locked="0"/>
    </xf>
    <xf numFmtId="49" fontId="4" fillId="6" borderId="12" xfId="0" applyNumberFormat="1" applyFont="1" applyFill="1" applyBorder="1" applyAlignment="1">
      <alignment horizontal="center" vertical="center" wrapText="1"/>
    </xf>
    <xf numFmtId="49" fontId="4" fillId="6" borderId="13" xfId="0" applyNumberFormat="1" applyFont="1" applyFill="1" applyBorder="1" applyAlignment="1">
      <alignment horizontal="center" vertical="center" wrapText="1"/>
    </xf>
    <xf numFmtId="49" fontId="5" fillId="10" borderId="12" xfId="0" applyNumberFormat="1" applyFont="1" applyFill="1" applyBorder="1" applyAlignment="1" applyProtection="1">
      <alignment horizontal="center" vertical="center"/>
      <protection locked="0"/>
    </xf>
    <xf numFmtId="49" fontId="4" fillId="10" borderId="12" xfId="0" applyNumberFormat="1" applyFont="1" applyFill="1" applyBorder="1" applyAlignment="1" applyProtection="1">
      <alignment horizontal="center" vertical="center"/>
      <protection locked="0"/>
    </xf>
    <xf numFmtId="0" fontId="4" fillId="0" borderId="12" xfId="0" applyFont="1" applyBorder="1" applyAlignment="1">
      <alignment horizontal="left" vertical="top" wrapText="1"/>
    </xf>
    <xf numFmtId="0" fontId="1" fillId="0" borderId="12" xfId="0" applyFont="1" applyBorder="1" applyAlignment="1">
      <alignment horizontal="left" vertical="top" wrapText="1"/>
    </xf>
    <xf numFmtId="0" fontId="1" fillId="0" borderId="9"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49" fontId="4" fillId="8" borderId="9" xfId="0" applyNumberFormat="1" applyFont="1" applyFill="1" applyBorder="1" applyAlignment="1">
      <alignment horizontal="right" vertical="center" wrapText="1"/>
    </xf>
    <xf numFmtId="49" fontId="4" fillId="8" borderId="12" xfId="0" applyNumberFormat="1" applyFont="1" applyFill="1" applyBorder="1" applyAlignment="1">
      <alignment horizontal="right" vertical="center" wrapText="1"/>
    </xf>
    <xf numFmtId="49" fontId="4" fillId="8" borderId="13" xfId="0" applyNumberFormat="1" applyFont="1" applyFill="1" applyBorder="1" applyAlignment="1">
      <alignment horizontal="right" vertical="center" wrapText="1"/>
    </xf>
    <xf numFmtId="49" fontId="1" fillId="8" borderId="9" xfId="0" applyNumberFormat="1" applyFont="1" applyFill="1" applyBorder="1" applyAlignment="1">
      <alignment horizontal="center" vertical="center" wrapText="1"/>
    </xf>
    <xf numFmtId="49" fontId="1" fillId="8" borderId="12" xfId="0" applyNumberFormat="1" applyFont="1" applyFill="1" applyBorder="1" applyAlignment="1">
      <alignment horizontal="center" vertical="center" wrapText="1"/>
    </xf>
    <xf numFmtId="49" fontId="1" fillId="8" borderId="13" xfId="0" applyNumberFormat="1" applyFont="1" applyFill="1" applyBorder="1" applyAlignment="1">
      <alignment horizontal="center" vertical="center" wrapText="1"/>
    </xf>
    <xf numFmtId="0" fontId="1" fillId="0" borderId="2" xfId="0" applyFont="1" applyBorder="1" applyAlignment="1">
      <alignment horizontal="left" vertical="top" wrapText="1"/>
    </xf>
    <xf numFmtId="0" fontId="22" fillId="4" borderId="2" xfId="0" applyFont="1" applyFill="1" applyBorder="1" applyAlignment="1">
      <alignment horizontal="right"/>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4" borderId="2" xfId="0" applyFont="1" applyFill="1" applyBorder="1" applyAlignment="1" applyProtection="1">
      <alignment horizontal="center" vertical="center" wrapText="1"/>
      <protection locked="0"/>
    </xf>
    <xf numFmtId="0" fontId="1" fillId="0" borderId="9" xfId="0" applyFont="1" applyBorder="1" applyAlignment="1">
      <alignment horizontal="center" vertical="center"/>
    </xf>
    <xf numFmtId="0" fontId="1" fillId="0" borderId="13" xfId="0" applyFont="1" applyBorder="1" applyAlignment="1">
      <alignment horizontal="center" vertical="center"/>
    </xf>
    <xf numFmtId="0" fontId="23" fillId="10" borderId="2" xfId="0" applyFont="1" applyFill="1" applyBorder="1" applyAlignment="1">
      <alignment horizontal="center"/>
    </xf>
    <xf numFmtId="0" fontId="5" fillId="10" borderId="7" xfId="0" applyFont="1" applyFill="1" applyBorder="1" applyAlignment="1">
      <alignment horizontal="center"/>
    </xf>
    <xf numFmtId="0" fontId="5" fillId="10" borderId="1" xfId="0" applyFont="1" applyFill="1" applyBorder="1" applyAlignment="1">
      <alignment horizontal="center"/>
    </xf>
    <xf numFmtId="0" fontId="5" fillId="10" borderId="8" xfId="0" applyFont="1" applyFill="1" applyBorder="1" applyAlignment="1">
      <alignment horizontal="center"/>
    </xf>
    <xf numFmtId="0" fontId="4" fillId="0" borderId="2" xfId="0" applyFont="1" applyBorder="1" applyAlignment="1">
      <alignment horizontal="left" vertical="center" wrapText="1"/>
    </xf>
    <xf numFmtId="0" fontId="1" fillId="0" borderId="2" xfId="0" applyFont="1" applyBorder="1" applyAlignment="1">
      <alignment horizontal="left" vertical="center" wrapText="1"/>
    </xf>
    <xf numFmtId="49" fontId="1" fillId="0" borderId="2" xfId="0" applyNumberFormat="1" applyFont="1" applyBorder="1" applyAlignment="1">
      <alignment horizontal="left" vertical="top" wrapText="1"/>
    </xf>
    <xf numFmtId="49" fontId="1" fillId="0" borderId="9" xfId="0" applyNumberFormat="1" applyFont="1" applyBorder="1" applyAlignment="1">
      <alignment horizontal="left" vertical="top" wrapText="1"/>
    </xf>
    <xf numFmtId="0" fontId="5" fillId="10" borderId="2" xfId="0" applyFont="1" applyFill="1" applyBorder="1" applyAlignment="1">
      <alignment horizontal="center" vertical="center" wrapText="1"/>
    </xf>
    <xf numFmtId="49" fontId="1" fillId="0" borderId="3" xfId="0" applyNumberFormat="1" applyFont="1" applyBorder="1" applyAlignment="1">
      <alignment horizontal="left" vertical="top" wrapText="1"/>
    </xf>
    <xf numFmtId="49" fontId="1" fillId="0" borderId="5" xfId="0" applyNumberFormat="1" applyFont="1" applyBorder="1" applyAlignment="1">
      <alignment horizontal="left" vertical="top" wrapText="1"/>
    </xf>
    <xf numFmtId="49" fontId="1" fillId="0" borderId="12" xfId="0" applyNumberFormat="1" applyFont="1" applyBorder="1" applyAlignment="1">
      <alignment horizontal="left" vertical="top" wrapText="1"/>
    </xf>
    <xf numFmtId="49" fontId="1" fillId="0" borderId="13" xfId="0" applyNumberFormat="1" applyFont="1" applyBorder="1" applyAlignment="1">
      <alignment horizontal="left" vertical="top" wrapText="1"/>
    </xf>
    <xf numFmtId="0" fontId="1" fillId="0" borderId="9" xfId="0" applyFont="1" applyBorder="1" applyAlignment="1">
      <alignment horizontal="left" vertical="top" wrapText="1"/>
    </xf>
    <xf numFmtId="0" fontId="1" fillId="0" borderId="13" xfId="0" applyFont="1" applyBorder="1" applyAlignment="1">
      <alignment horizontal="left" vertical="top" wrapText="1"/>
    </xf>
    <xf numFmtId="0" fontId="3" fillId="4" borderId="2" xfId="0" applyFont="1" applyFill="1" applyBorder="1" applyAlignment="1">
      <alignment horizontal="center" vertical="center" wrapText="1"/>
    </xf>
    <xf numFmtId="0" fontId="4" fillId="4" borderId="2" xfId="0" applyFont="1" applyFill="1" applyBorder="1" applyAlignment="1">
      <alignment horizontal="center" vertical="center" wrapText="1"/>
    </xf>
    <xf numFmtId="49" fontId="1" fillId="0" borderId="10" xfId="0" applyNumberFormat="1" applyFont="1" applyBorder="1" applyAlignment="1">
      <alignment horizontal="left" vertical="center" wrapText="1"/>
    </xf>
    <xf numFmtId="49" fontId="1" fillId="0" borderId="11" xfId="0" applyNumberFormat="1" applyFont="1" applyBorder="1" applyAlignment="1">
      <alignment horizontal="left" vertical="center" wrapText="1"/>
    </xf>
    <xf numFmtId="0" fontId="4" fillId="0" borderId="2" xfId="0" applyFont="1" applyBorder="1" applyAlignment="1">
      <alignment horizontal="left" vertical="top" wrapText="1"/>
    </xf>
    <xf numFmtId="49" fontId="5" fillId="10" borderId="12" xfId="0" applyNumberFormat="1" applyFont="1" applyFill="1" applyBorder="1" applyAlignment="1">
      <alignment horizontal="center" vertical="center"/>
    </xf>
    <xf numFmtId="49" fontId="4" fillId="10" borderId="12" xfId="0" applyNumberFormat="1" applyFont="1" applyFill="1" applyBorder="1" applyAlignment="1">
      <alignment horizontal="center" vertical="center"/>
    </xf>
    <xf numFmtId="0" fontId="5" fillId="4" borderId="2" xfId="0" applyFont="1" applyFill="1" applyBorder="1" applyAlignment="1">
      <alignment horizontal="right"/>
    </xf>
    <xf numFmtId="0" fontId="1" fillId="0" borderId="1" xfId="0" applyFont="1" applyBorder="1" applyAlignment="1" applyProtection="1">
      <alignment horizontal="center"/>
      <protection locked="0"/>
    </xf>
    <xf numFmtId="49" fontId="1" fillId="0" borderId="9" xfId="0" applyNumberFormat="1" applyFont="1" applyBorder="1" applyAlignment="1">
      <alignment horizontal="center" vertical="center" wrapText="1"/>
    </xf>
    <xf numFmtId="49" fontId="1" fillId="0" borderId="12" xfId="0" applyNumberFormat="1" applyFont="1" applyBorder="1" applyAlignment="1">
      <alignment horizontal="center" vertical="center" wrapText="1"/>
    </xf>
    <xf numFmtId="49" fontId="1" fillId="0" borderId="13" xfId="0" applyNumberFormat="1" applyFont="1" applyBorder="1" applyAlignment="1">
      <alignment horizontal="center" vertical="center" wrapText="1"/>
    </xf>
    <xf numFmtId="49" fontId="4" fillId="0" borderId="9" xfId="0" applyNumberFormat="1" applyFont="1" applyBorder="1" applyAlignment="1">
      <alignment horizontal="left" vertical="top" wrapText="1"/>
    </xf>
    <xf numFmtId="49" fontId="5" fillId="10" borderId="9" xfId="0" applyNumberFormat="1" applyFont="1" applyFill="1" applyBorder="1" applyAlignment="1">
      <alignment horizontal="center" vertical="center" wrapText="1"/>
    </xf>
    <xf numFmtId="49" fontId="4" fillId="10" borderId="12" xfId="0" applyNumberFormat="1" applyFont="1" applyFill="1" applyBorder="1" applyAlignment="1">
      <alignment horizontal="center" vertical="center" wrapText="1"/>
    </xf>
    <xf numFmtId="49" fontId="4" fillId="10" borderId="13" xfId="0" applyNumberFormat="1" applyFont="1" applyFill="1" applyBorder="1" applyAlignment="1">
      <alignment horizontal="center" vertical="center" wrapText="1"/>
    </xf>
    <xf numFmtId="0" fontId="1" fillId="0" borderId="12" xfId="0" applyFont="1" applyBorder="1" applyAlignment="1">
      <alignment horizontal="center" vertical="center"/>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23" fillId="10" borderId="2"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1" xfId="0" applyFont="1" applyFill="1" applyBorder="1" applyAlignment="1">
      <alignment horizontal="center" vertical="center"/>
    </xf>
    <xf numFmtId="0" fontId="5" fillId="10" borderId="8" xfId="0" applyFont="1" applyFill="1" applyBorder="1" applyAlignment="1">
      <alignment horizontal="center" vertical="center"/>
    </xf>
    <xf numFmtId="49" fontId="1" fillId="0" borderId="2" xfId="0" applyNumberFormat="1" applyFont="1" applyBorder="1" applyAlignment="1">
      <alignment horizontal="left" vertical="center" wrapText="1"/>
    </xf>
    <xf numFmtId="49" fontId="1" fillId="0" borderId="9" xfId="0" applyNumberFormat="1" applyFont="1" applyBorder="1" applyAlignment="1">
      <alignment horizontal="left" vertical="center" wrapText="1"/>
    </xf>
    <xf numFmtId="49" fontId="1" fillId="0" borderId="3" xfId="0" applyNumberFormat="1" applyFont="1" applyBorder="1" applyAlignment="1">
      <alignment horizontal="left" vertical="center" wrapText="1"/>
    </xf>
    <xf numFmtId="49" fontId="1" fillId="0" borderId="5" xfId="0" applyNumberFormat="1" applyFont="1" applyBorder="1" applyAlignment="1">
      <alignment horizontal="left" vertical="center" wrapText="1"/>
    </xf>
    <xf numFmtId="0" fontId="4" fillId="0" borderId="9" xfId="0" applyFont="1" applyBorder="1" applyAlignment="1">
      <alignment horizontal="left" vertical="top" wrapText="1"/>
    </xf>
    <xf numFmtId="49" fontId="1" fillId="0" borderId="10" xfId="0" applyNumberFormat="1" applyFont="1" applyBorder="1" applyAlignment="1">
      <alignment horizontal="left" vertical="top" wrapText="1"/>
    </xf>
    <xf numFmtId="49" fontId="1" fillId="0" borderId="11" xfId="0" applyNumberFormat="1" applyFont="1" applyBorder="1" applyAlignment="1">
      <alignment horizontal="left" vertical="top" wrapText="1"/>
    </xf>
    <xf numFmtId="0" fontId="1" fillId="0" borderId="9" xfId="0" applyFont="1" applyBorder="1" applyAlignment="1">
      <alignment horizontal="left" vertical="center" wrapText="1"/>
    </xf>
    <xf numFmtId="0" fontId="1" fillId="0" borderId="13" xfId="0" applyFont="1" applyBorder="1" applyAlignment="1">
      <alignment horizontal="left" vertical="center" wrapText="1"/>
    </xf>
    <xf numFmtId="3" fontId="4" fillId="4" borderId="3" xfId="0" applyNumberFormat="1" applyFont="1" applyFill="1" applyBorder="1" applyAlignment="1">
      <alignment horizontal="center" vertical="center" wrapText="1"/>
    </xf>
    <xf numFmtId="3" fontId="4" fillId="4" borderId="4" xfId="0" applyNumberFormat="1" applyFont="1" applyFill="1" applyBorder="1" applyAlignment="1">
      <alignment horizontal="center" vertical="center" wrapText="1"/>
    </xf>
    <xf numFmtId="1" fontId="4" fillId="4" borderId="3" xfId="0" applyNumberFormat="1" applyFont="1" applyFill="1" applyBorder="1" applyAlignment="1">
      <alignment horizontal="center" vertical="center" wrapText="1"/>
    </xf>
    <xf numFmtId="1" fontId="4" fillId="4" borderId="4" xfId="0" applyNumberFormat="1" applyFont="1" applyFill="1" applyBorder="1" applyAlignment="1">
      <alignment horizontal="center" vertical="center" wrapText="1"/>
    </xf>
    <xf numFmtId="0" fontId="22" fillId="4" borderId="2" xfId="0" applyFont="1" applyFill="1" applyBorder="1" applyAlignment="1">
      <alignment horizontal="center" vertical="center" wrapText="1"/>
    </xf>
    <xf numFmtId="1" fontId="22" fillId="4" borderId="3" xfId="0" applyNumberFormat="1" applyFont="1" applyFill="1" applyBorder="1" applyAlignment="1">
      <alignment horizontal="center" vertical="center"/>
    </xf>
    <xf numFmtId="1" fontId="22" fillId="4" borderId="4" xfId="0" applyNumberFormat="1" applyFont="1" applyFill="1" applyBorder="1" applyAlignment="1">
      <alignment horizontal="center" vertical="center"/>
    </xf>
  </cellXfs>
  <cellStyles count="3">
    <cellStyle name="Comma" xfId="1" builtinId="3"/>
    <cellStyle name="Normal" xfId="0" builtinId="0"/>
    <cellStyle name="Percent" xfId="2" builtinId="5"/>
  </cellStyles>
  <dxfs count="17">
    <dxf>
      <fill>
        <patternFill>
          <bgColor theme="5" tint="0.79998168889431442"/>
        </patternFill>
      </fill>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solid">
          <fgColor theme="4" tint="0.79998168889431442"/>
          <bgColor theme="4" tint="0.79998168889431442"/>
        </patternFill>
      </fill>
      <alignment horizontal="center" vertical="bottom" textRotation="0" wrapText="0" indent="0" justifyLastLine="0" shrinkToFit="0" readingOrder="0"/>
    </dxf>
    <dxf>
      <numFmt numFmtId="30" formatCode="@"/>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691515</xdr:colOff>
      <xdr:row>0</xdr:row>
      <xdr:rowOff>470535</xdr:rowOff>
    </xdr:from>
    <xdr:to>
      <xdr:col>3</xdr:col>
      <xdr:colOff>918210</xdr:colOff>
      <xdr:row>0</xdr:row>
      <xdr:rowOff>765810</xdr:rowOff>
    </xdr:to>
    <xdr:sp macro="" textlink="">
      <xdr:nvSpPr>
        <xdr:cNvPr id="2" name="TextBox 1">
          <a:extLst>
            <a:ext uri="{FF2B5EF4-FFF2-40B4-BE49-F238E27FC236}">
              <a16:creationId xmlns:a16="http://schemas.microsoft.com/office/drawing/2014/main" id="{398DCA8C-8F9C-4DA3-BA38-C2E515B12593}"/>
            </a:ext>
          </a:extLst>
        </xdr:cNvPr>
        <xdr:cNvSpPr txBox="1"/>
      </xdr:nvSpPr>
      <xdr:spPr>
        <a:xfrm>
          <a:off x="929640" y="470535"/>
          <a:ext cx="3903345" cy="295275"/>
        </a:xfrm>
        <a:prstGeom prst="rect">
          <a:avLst/>
        </a:prstGeom>
        <a:solidFill>
          <a:sysClr val="window" lastClr="FFFFFF"/>
        </a:solidFill>
        <a:ln>
          <a:noFill/>
        </a:ln>
      </xdr:spPr>
      <xdr:txBody>
        <a:bodyPr spcFirstLastPara="1" wrap="square" lIns="91425" tIns="45700" rIns="91425" bIns="45700" anchor="ctr" anchorCtr="0">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lvl="0" indent="0" algn="ctr" rtl="0">
            <a:spcBef>
              <a:spcPts val="0"/>
            </a:spcBef>
            <a:spcAft>
              <a:spcPts val="0"/>
            </a:spcAft>
            <a:buNone/>
          </a:pPr>
          <a:r>
            <a:rPr lang="en-US" sz="2800" b="1">
              <a:solidFill>
                <a:sysClr val="windowText" lastClr="000000"/>
              </a:solidFill>
              <a:latin typeface="Calibri"/>
              <a:ea typeface="Calibri"/>
              <a:cs typeface="Calibri"/>
              <a:sym typeface="Calibri"/>
            </a:rPr>
            <a:t>KEV</a:t>
          </a:r>
          <a:r>
            <a:rPr lang="en-US" sz="2800" b="1" baseline="0">
              <a:solidFill>
                <a:sysClr val="windowText" lastClr="000000"/>
              </a:solidFill>
              <a:latin typeface="Calibri"/>
              <a:ea typeface="Calibri"/>
              <a:cs typeface="Calibri"/>
              <a:sym typeface="Calibri"/>
            </a:rPr>
            <a:t> Score Cards</a:t>
          </a:r>
          <a:r>
            <a:rPr lang="en-US" sz="2800" b="1">
              <a:solidFill>
                <a:sysClr val="windowText" lastClr="000000"/>
              </a:solidFill>
              <a:latin typeface="Calibri"/>
              <a:ea typeface="Calibri"/>
              <a:cs typeface="Calibri"/>
              <a:sym typeface="Calibri"/>
            </a:rPr>
            <a:t> Review </a:t>
          </a:r>
          <a:endParaRPr sz="2000">
            <a:solidFill>
              <a:sysClr val="windowText" lastClr="000000"/>
            </a:solidFill>
          </a:endParaRPr>
        </a:p>
      </xdr:txBody>
    </xdr:sp>
    <xdr:clientData/>
  </xdr:twoCellAnchor>
  <xdr:twoCellAnchor editAs="oneCell">
    <xdr:from>
      <xdr:col>4</xdr:col>
      <xdr:colOff>339090</xdr:colOff>
      <xdr:row>0</xdr:row>
      <xdr:rowOff>76200</xdr:rowOff>
    </xdr:from>
    <xdr:to>
      <xdr:col>4</xdr:col>
      <xdr:colOff>1362075</xdr:colOff>
      <xdr:row>0</xdr:row>
      <xdr:rowOff>1135380</xdr:rowOff>
    </xdr:to>
    <xdr:pic>
      <xdr:nvPicPr>
        <xdr:cNvPr id="3" name="Picture 2">
          <a:extLst>
            <a:ext uri="{FF2B5EF4-FFF2-40B4-BE49-F238E27FC236}">
              <a16:creationId xmlns:a16="http://schemas.microsoft.com/office/drawing/2014/main" id="{54D66CFE-41E1-283E-787E-B0DEE4C05DFA}"/>
            </a:ext>
            <a:ext uri="{147F2762-F138-4A5C-976F-8EAC2B608ADB}">
              <a16:predDERef xmlns:a16="http://schemas.microsoft.com/office/drawing/2014/main" pred="{398DCA8C-8F9C-4DA3-BA38-C2E515B125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82590" y="76200"/>
          <a:ext cx="1022985" cy="105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0655537-4F1C-4148-ABD5-3C7B6511F096}" name="Table3" displayName="Table3" ref="A1:A9" totalsRowShown="0">
  <autoFilter ref="A1:A9" xr:uid="{E0655537-4F1C-4148-ABD5-3C7B6511F096}"/>
  <sortState xmlns:xlrd2="http://schemas.microsoft.com/office/spreadsheetml/2017/richdata2" ref="A2:A9">
    <sortCondition ref="A3:A9"/>
  </sortState>
  <tableColumns count="1">
    <tableColumn id="1" xr3:uid="{ABDDD6A8-65EE-47C7-BBD4-D7F1BCD7ADED}" name="A&amp;I Safety Event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B3391B-040E-4F0C-BB30-629A817239E0}" name="Table5" displayName="Table5" ref="C1:C9" totalsRowShown="0">
  <autoFilter ref="C1:C9" xr:uid="{ABB3391B-040E-4F0C-BB30-629A817239E0}"/>
  <sortState xmlns:xlrd2="http://schemas.microsoft.com/office/spreadsheetml/2017/richdata2" ref="C2:C9">
    <sortCondition ref="C3:C9"/>
  </sortState>
  <tableColumns count="1">
    <tableColumn id="1" xr3:uid="{2C5244BE-3918-4641-A563-10E1378804B1}" name="A&amp;I Resident Selec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38B69E5-0D74-4BCA-B6E5-B02C7005DC38}" name="Table7" displayName="Table7" ref="E1:E5" totalsRowShown="0" dataDxfId="13">
  <autoFilter ref="E1:E5" xr:uid="{538B69E5-0D74-4BCA-B6E5-B02C7005DC38}"/>
  <tableColumns count="1">
    <tableColumn id="1" xr3:uid="{D72ECDA4-6FC0-422F-AA7D-631454077116}" name="1st Score Column" dataDxfId="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704A20D-FA44-4E60-A72C-01EEC3C67F3B}" name="Table8" displayName="Table8" ref="G1:G5" totalsRowShown="0" headerRowDxfId="11" dataDxfId="10">
  <autoFilter ref="G1:G5" xr:uid="{5704A20D-FA44-4E60-A72C-01EEC3C67F3B}"/>
  <tableColumns count="1">
    <tableColumn id="1" xr3:uid="{D12D4F47-B193-405A-ACFB-ABDCB1BBE85E}" name="2nd &amp; 3rd Score Column"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C026D02-C014-4299-8445-158ECE20B7F7}" name="Table9" displayName="Table9" ref="I1:I5" totalsRowShown="0" dataDxfId="8">
  <autoFilter ref="I1:I5" xr:uid="{8C026D02-C014-4299-8445-158ECE20B7F7}"/>
  <tableColumns count="1">
    <tableColumn id="1" xr3:uid="{C2576781-1587-408F-9878-2CF8D2ABFEBE}" name="Observations" dataDxfId="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7ECA366-0CB7-4F0D-B283-2A65B62D1FDD}" name="Table10" displayName="Table10" ref="K1:K4" totalsRowShown="0" dataDxfId="6">
  <autoFilter ref="K1:K4" xr:uid="{87ECA366-0CB7-4F0D-B283-2A65B62D1FDD}"/>
  <tableColumns count="1">
    <tableColumn id="1" xr3:uid="{0CA92B3D-CADD-4769-9DBD-ABD441F20830}" name="Follow-Up Needed?" dataDxfId="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D90183D-A886-45A3-A711-ED94312027F1}" name="Table1114" displayName="Table1114" ref="A12:A18" totalsRowShown="0">
  <autoFilter ref="A12:A18" xr:uid="{1D90183D-A886-45A3-A711-ED94312027F1}"/>
  <tableColumns count="1">
    <tableColumn id="1" xr3:uid="{6E1A7E3D-1482-4A72-AED3-26537CC2EF2F}" name="Wound Statu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9B1B743-B8AC-4BC7-B21F-9EB73E834391}" name="Table1215" displayName="Table1215" ref="C12:C18" totalsRowShown="0">
  <autoFilter ref="C12:C18" xr:uid="{C9B1B743-B8AC-4BC7-B21F-9EB73E834391}"/>
  <tableColumns count="1">
    <tableColumn id="1" xr3:uid="{203825C4-1017-44F2-9821-51C44E63612A}" name="Categor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4EF143B-34A9-4599-8858-6A1B9C9301F9}" name="Table15" displayName="Table15" ref="E11:E19" totalsRowShown="0">
  <autoFilter ref="E11:E19" xr:uid="{44EF143B-34A9-4599-8858-6A1B9C9301F9}"/>
  <sortState xmlns:xlrd2="http://schemas.microsoft.com/office/spreadsheetml/2017/richdata2" ref="E12:E19">
    <sortCondition ref="E14:E19"/>
  </sortState>
  <tableColumns count="1">
    <tableColumn id="1" xr3:uid="{FD3F637D-6436-4CD8-B281-3BC568FD4928}" name="Discharge/Transfer Locat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D471C99-AC94-4F56-A277-307713E5146F}" name="Table16" displayName="Table16" ref="G11:G15" totalsRowShown="0">
  <autoFilter ref="G11:G15" xr:uid="{ED471C99-AC94-4F56-A277-307713E5146F}"/>
  <tableColumns count="1">
    <tableColumn id="1" xr3:uid="{0A283CA2-FDD4-4C14-AF4B-52280ED3F238}" name="Discharge/Transfer Event Typ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75579E6-03CA-4D13-81DA-EA952F4AB4EB}" name="Table17" displayName="Table17" ref="A20:A27" totalsRowShown="0">
  <autoFilter ref="A20:A27" xr:uid="{775579E6-03CA-4D13-81DA-EA952F4AB4EB}"/>
  <sortState xmlns:xlrd2="http://schemas.microsoft.com/office/spreadsheetml/2017/richdata2" ref="A21:A27">
    <sortCondition ref="A22:A27"/>
  </sortState>
  <tableColumns count="1">
    <tableColumn id="1" xr3:uid="{6C0E55B1-A9D3-437F-8F2B-21C64E9E1E5D}" name="Abuse Resident Select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C6F8FD8-76BA-4188-A619-5F8E99DEC642}" name="Table18" displayName="Table18" ref="C19:C28" totalsRowShown="0">
  <autoFilter ref="C19:C28" xr:uid="{BC6F8FD8-76BA-4188-A619-5F8E99DEC642}"/>
  <tableColumns count="1">
    <tableColumn id="1" xr3:uid="{1C5902A4-E68F-4306-B641-79BA1CCEBCEC}" name="Abuse Event 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4382916-5806-4F46-AE55-1A6DC22535B5}" name="Table19" displayName="Table19" ref="E21:E29" totalsRowShown="0">
  <autoFilter ref="E21:E29" xr:uid="{54382916-5806-4F46-AE55-1A6DC22535B5}"/>
  <tableColumns count="1">
    <tableColumn id="1" xr3:uid="{F91B3892-25DF-4C59-A137-A4A24991CD65}" name="IP Resident Select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409C6D5-0409-4BBE-BF81-2AE5D3F382DC}" name="Table20" displayName="Table20" ref="G17:G24" totalsRowShown="0">
  <autoFilter ref="G17:G24" xr:uid="{4409C6D5-0409-4BBE-BF81-2AE5D3F382DC}"/>
  <tableColumns count="1">
    <tableColumn id="1" xr3:uid="{72471778-F572-4A40-9F22-D6F0DA47158D}" name="IP Precaution 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2DCB387-0F45-4C13-BB02-8F28D7D3157B}" name="Table21" displayName="Table21" ref="I7:I20" totalsRowShown="0">
  <autoFilter ref="I7:I20" xr:uid="{92DCB387-0F45-4C13-BB02-8F28D7D3157B}"/>
  <tableColumns count="1">
    <tableColumn id="1" xr3:uid="{F675404C-0FBD-4C7A-874F-3B55BD4EF86F}" name="Review Period" dataDxfId="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83C72FB-9D90-47E1-A7E3-BD1CF1D8294E}" name="Table22" displayName="Table22" ref="K6:K54" totalsRowShown="0" dataDxfId="3" tableBorderDxfId="2">
  <autoFilter ref="K6:K54" xr:uid="{783C72FB-9D90-47E1-A7E3-BD1CF1D8294E}"/>
  <tableColumns count="1">
    <tableColumn id="1" xr3:uid="{AB7408EE-08B0-486A-B4AA-6BF391B7B7EC}" name="Facility Name"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comments" Target="../comments1.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vmlDrawing" Target="../drawings/vmlDrawing1.v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35EF-7AC6-4734-B1B0-DB66358E2C67}">
  <dimension ref="A1:T31"/>
  <sheetViews>
    <sheetView zoomScale="180" zoomScaleNormal="180" workbookViewId="0">
      <selection activeCell="C3" sqref="C3:D3"/>
    </sheetView>
  </sheetViews>
  <sheetFormatPr defaultRowHeight="14.45"/>
  <cols>
    <col min="1" max="1" width="7.28515625" bestFit="1" customWidth="1"/>
    <col min="2" max="2" width="25.7109375" customWidth="1"/>
    <col min="3" max="3" width="20.7109375" customWidth="1"/>
    <col min="4" max="4" width="18.7109375" customWidth="1"/>
    <col min="5" max="5" width="20.85546875" customWidth="1"/>
    <col min="6" max="6" width="7.28515625" customWidth="1"/>
    <col min="8" max="8" width="26.28515625" customWidth="1"/>
  </cols>
  <sheetData>
    <row r="1" spans="1:20" ht="94.15" customHeight="1">
      <c r="A1" s="65"/>
      <c r="B1" s="66"/>
      <c r="C1" s="66"/>
      <c r="D1" s="67"/>
      <c r="E1" s="66"/>
      <c r="I1" s="38"/>
      <c r="J1" s="38"/>
      <c r="K1" s="38"/>
      <c r="L1" s="38"/>
      <c r="M1" s="38"/>
      <c r="N1" s="38"/>
      <c r="O1" s="38"/>
      <c r="P1" s="38"/>
      <c r="Q1" s="38"/>
      <c r="R1" s="38"/>
      <c r="S1" s="38"/>
      <c r="T1" s="38"/>
    </row>
    <row r="2" spans="1:20">
      <c r="A2" s="39"/>
      <c r="B2" s="68" t="s">
        <v>0</v>
      </c>
      <c r="C2" s="128" t="s">
        <v>1</v>
      </c>
      <c r="D2" s="128"/>
      <c r="E2" s="40"/>
      <c r="F2" s="41"/>
      <c r="H2" s="50"/>
      <c r="I2" s="38"/>
      <c r="J2" s="38"/>
      <c r="K2" s="38"/>
      <c r="L2" s="38"/>
      <c r="M2" s="38"/>
      <c r="N2" s="38"/>
      <c r="O2" s="38"/>
      <c r="P2" s="38"/>
      <c r="Q2" s="38"/>
      <c r="R2" s="38"/>
      <c r="S2" s="38"/>
      <c r="T2" s="38"/>
    </row>
    <row r="3" spans="1:20">
      <c r="A3" s="39"/>
      <c r="B3" s="69" t="s">
        <v>2</v>
      </c>
      <c r="C3" s="128" t="s">
        <v>3</v>
      </c>
      <c r="D3" s="128"/>
      <c r="E3" s="42"/>
      <c r="F3" s="43"/>
      <c r="H3" s="51"/>
    </row>
    <row r="4" spans="1:20">
      <c r="A4" s="44"/>
      <c r="B4" s="69" t="s">
        <v>4</v>
      </c>
      <c r="C4" s="129"/>
      <c r="D4" s="129"/>
      <c r="E4" s="42"/>
      <c r="F4" s="43"/>
      <c r="G4" s="29"/>
      <c r="H4" s="51"/>
    </row>
    <row r="5" spans="1:20">
      <c r="A5" s="44"/>
      <c r="B5" s="69" t="s">
        <v>5</v>
      </c>
      <c r="C5" s="130"/>
      <c r="D5" s="130"/>
      <c r="E5" s="42"/>
      <c r="F5" s="43"/>
      <c r="H5" s="51"/>
    </row>
    <row r="6" spans="1:20">
      <c r="A6" s="45"/>
      <c r="B6" s="46"/>
      <c r="C6" s="47"/>
      <c r="D6" s="48"/>
      <c r="E6" s="47"/>
      <c r="F6" s="49"/>
      <c r="H6" s="51"/>
    </row>
    <row r="7" spans="1:20">
      <c r="A7" s="33"/>
      <c r="B7" s="70" t="s">
        <v>6</v>
      </c>
      <c r="C7" s="71" t="s">
        <v>7</v>
      </c>
      <c r="D7" s="72" t="s">
        <v>8</v>
      </c>
      <c r="E7" s="73" t="s">
        <v>9</v>
      </c>
      <c r="F7" s="32"/>
    </row>
    <row r="8" spans="1:20">
      <c r="A8" s="34"/>
      <c r="B8" s="74" t="s">
        <v>10</v>
      </c>
      <c r="C8" s="75">
        <f>'Abuse &amp; Griev'!E41</f>
        <v>150</v>
      </c>
      <c r="D8" s="76">
        <f>'Abuse &amp; Griev'!I41</f>
        <v>16</v>
      </c>
      <c r="E8" s="77">
        <f t="shared" ref="E8:E12" si="0">SUM(D8/C8)</f>
        <v>0.10666666666666667</v>
      </c>
      <c r="F8" s="32"/>
    </row>
    <row r="9" spans="1:20">
      <c r="A9" s="34"/>
      <c r="B9" s="78" t="s">
        <v>11</v>
      </c>
      <c r="C9" s="79">
        <f>'Accidents &amp; Incidents'!E51</f>
        <v>200</v>
      </c>
      <c r="D9" s="80">
        <f>'Accidents &amp; Incidents'!I51</f>
        <v>0</v>
      </c>
      <c r="E9" s="81">
        <f t="shared" si="0"/>
        <v>0</v>
      </c>
      <c r="F9" s="32"/>
    </row>
    <row r="10" spans="1:20" ht="28.9">
      <c r="A10" s="34"/>
      <c r="B10" s="74" t="s">
        <v>12</v>
      </c>
      <c r="C10" s="75">
        <f>'Inf Prev &amp; Cont'!E52</f>
        <v>200</v>
      </c>
      <c r="D10" s="76">
        <f>'Inf Prev &amp; Cont'!I52</f>
        <v>7</v>
      </c>
      <c r="E10" s="77">
        <f t="shared" si="0"/>
        <v>3.5000000000000003E-2</v>
      </c>
      <c r="F10" s="32"/>
    </row>
    <row r="11" spans="1:20">
      <c r="A11" s="34"/>
      <c r="B11" s="82" t="s">
        <v>13</v>
      </c>
      <c r="C11" s="83">
        <f>'Skin Integrity &amp; Wounds'!E51</f>
        <v>200</v>
      </c>
      <c r="D11" s="84">
        <f>'Skin Integrity &amp; Wounds'!I51</f>
        <v>30</v>
      </c>
      <c r="E11" s="81">
        <f t="shared" si="0"/>
        <v>0.15</v>
      </c>
      <c r="F11" s="32"/>
    </row>
    <row r="12" spans="1:20">
      <c r="A12" s="33"/>
      <c r="B12" s="85" t="s">
        <v>14</v>
      </c>
      <c r="C12" s="86">
        <f>SUM(C8:C11)</f>
        <v>750</v>
      </c>
      <c r="D12" s="114">
        <f>SUM(D8:D11)</f>
        <v>53</v>
      </c>
      <c r="E12" s="87">
        <f t="shared" si="0"/>
        <v>7.0666666666666669E-2</v>
      </c>
      <c r="F12" s="32"/>
    </row>
    <row r="13" spans="1:20">
      <c r="A13" s="33"/>
      <c r="B13" s="88" t="s">
        <v>15</v>
      </c>
      <c r="C13" s="89">
        <f>D12/C12</f>
        <v>7.0666666666666669E-2</v>
      </c>
      <c r="D13" s="90"/>
      <c r="E13" s="90"/>
      <c r="F13" s="32"/>
    </row>
    <row r="14" spans="1:20">
      <c r="A14" s="33"/>
      <c r="B14" s="91"/>
      <c r="C14" s="92"/>
      <c r="D14" s="90"/>
      <c r="E14" s="90"/>
      <c r="F14" s="32"/>
    </row>
    <row r="15" spans="1:20">
      <c r="A15" s="33"/>
      <c r="B15" s="36"/>
      <c r="C15" s="37"/>
      <c r="D15" s="35"/>
      <c r="E15" s="35"/>
      <c r="F15" s="32"/>
    </row>
    <row r="16" spans="1:20" ht="54" customHeight="1">
      <c r="A16" s="127" t="s">
        <v>16</v>
      </c>
      <c r="B16" s="127"/>
      <c r="C16" s="127"/>
      <c r="D16" s="127"/>
      <c r="E16" s="127"/>
      <c r="F16" s="127"/>
    </row>
    <row r="17" spans="1:14" ht="18">
      <c r="A17" s="125" t="s">
        <v>17</v>
      </c>
      <c r="B17" s="125"/>
      <c r="C17" s="125"/>
      <c r="D17" s="125"/>
      <c r="E17" s="125"/>
      <c r="F17" s="125"/>
      <c r="G17" s="38"/>
      <c r="H17" s="38"/>
      <c r="I17" s="38"/>
      <c r="J17" s="38"/>
      <c r="K17" s="38"/>
      <c r="L17" s="38"/>
      <c r="M17" s="38"/>
      <c r="N17" s="38"/>
    </row>
    <row r="18" spans="1:14">
      <c r="A18" s="133" t="s">
        <v>18</v>
      </c>
      <c r="B18" s="133"/>
      <c r="C18" s="133"/>
      <c r="D18" s="133"/>
      <c r="E18" s="133"/>
      <c r="F18" s="133"/>
      <c r="G18" s="38"/>
      <c r="H18" s="38"/>
      <c r="I18" s="38"/>
      <c r="J18" s="38"/>
      <c r="K18" s="38"/>
      <c r="L18" s="38"/>
      <c r="M18" s="38"/>
      <c r="N18" s="38"/>
    </row>
    <row r="19" spans="1:14" ht="27.6">
      <c r="A19" s="93"/>
      <c r="B19" s="94" t="s">
        <v>10</v>
      </c>
      <c r="C19" s="94" t="s">
        <v>11</v>
      </c>
      <c r="D19" s="94" t="s">
        <v>12</v>
      </c>
      <c r="E19" s="126" t="s">
        <v>13</v>
      </c>
      <c r="F19" s="126"/>
    </row>
    <row r="20" spans="1:14">
      <c r="A20" s="95">
        <v>45682</v>
      </c>
      <c r="B20" s="123"/>
      <c r="C20" s="121"/>
      <c r="D20" s="121"/>
      <c r="E20" s="131"/>
      <c r="F20" s="131"/>
    </row>
    <row r="21" spans="1:14">
      <c r="A21" s="96">
        <v>45689</v>
      </c>
      <c r="B21" s="124"/>
      <c r="C21" s="122"/>
      <c r="D21" s="122"/>
      <c r="E21" s="132"/>
      <c r="F21" s="132"/>
    </row>
    <row r="22" spans="1:14">
      <c r="A22" s="95">
        <v>45717</v>
      </c>
      <c r="B22" s="123"/>
      <c r="C22" s="121"/>
      <c r="D22" s="121"/>
      <c r="E22" s="131"/>
      <c r="F22" s="131"/>
    </row>
    <row r="23" spans="1:14">
      <c r="A23" s="96">
        <v>45748</v>
      </c>
      <c r="B23" s="122"/>
      <c r="C23" s="122"/>
      <c r="D23" s="122"/>
      <c r="E23" s="132"/>
      <c r="F23" s="132"/>
    </row>
    <row r="24" spans="1:14">
      <c r="A24" s="95">
        <v>45778</v>
      </c>
      <c r="B24" s="121"/>
      <c r="C24" s="121"/>
      <c r="D24" s="121"/>
      <c r="E24" s="131"/>
      <c r="F24" s="131"/>
    </row>
    <row r="25" spans="1:14">
      <c r="A25" s="96">
        <v>45809</v>
      </c>
      <c r="B25" s="122"/>
      <c r="C25" s="122"/>
      <c r="D25" s="122"/>
      <c r="E25" s="132"/>
      <c r="F25" s="132"/>
    </row>
    <row r="26" spans="1:14">
      <c r="A26" s="95">
        <v>45839</v>
      </c>
      <c r="B26" s="121"/>
      <c r="C26" s="121"/>
      <c r="D26" s="121"/>
      <c r="E26" s="131"/>
      <c r="F26" s="131"/>
    </row>
    <row r="27" spans="1:14">
      <c r="A27" s="96">
        <v>45870</v>
      </c>
      <c r="B27" s="122"/>
      <c r="C27" s="122"/>
      <c r="D27" s="122"/>
      <c r="E27" s="132"/>
      <c r="F27" s="132"/>
    </row>
    <row r="28" spans="1:14">
      <c r="A28" s="95">
        <v>45901</v>
      </c>
      <c r="B28" s="121"/>
      <c r="C28" s="121"/>
      <c r="D28" s="121"/>
      <c r="E28" s="131"/>
      <c r="F28" s="131"/>
    </row>
    <row r="29" spans="1:14">
      <c r="A29" s="96">
        <v>45931</v>
      </c>
      <c r="B29" s="122"/>
      <c r="C29" s="122"/>
      <c r="D29" s="122"/>
      <c r="E29" s="132"/>
      <c r="F29" s="132"/>
    </row>
    <row r="30" spans="1:14">
      <c r="A30" s="95">
        <v>45962</v>
      </c>
      <c r="B30" s="121"/>
      <c r="C30" s="121"/>
      <c r="D30" s="121"/>
      <c r="E30" s="131"/>
      <c r="F30" s="131"/>
    </row>
    <row r="31" spans="1:14">
      <c r="A31" s="96">
        <v>45992</v>
      </c>
      <c r="B31" s="122"/>
      <c r="C31" s="122"/>
      <c r="D31" s="122"/>
      <c r="E31" s="132"/>
      <c r="F31" s="132"/>
    </row>
  </sheetData>
  <sheetProtection algorithmName="SHA-512" hashValue="lkgUo+b4GlcsMgumVbSjxZhWSngv+SpNvkRHUOznDt3DqeJbSvUMX2MwoD8cB6ZuW9wvqsXZVhUrJF/azQqmLw==" saltValue="icGvCz+1g9HGTXw45FLy1g==" spinCount="100000" sheet="1" objects="1" scenarios="1"/>
  <protectedRanges>
    <protectedRange sqref="B20:F31" name="Range1"/>
    <protectedRange sqref="C2:D5" name="Range2"/>
  </protectedRanges>
  <mergeCells count="20">
    <mergeCell ref="E30:F30"/>
    <mergeCell ref="E31:F31"/>
    <mergeCell ref="A18:F18"/>
    <mergeCell ref="E25:F25"/>
    <mergeCell ref="E26:F26"/>
    <mergeCell ref="E27:F27"/>
    <mergeCell ref="E28:F28"/>
    <mergeCell ref="E29:F29"/>
    <mergeCell ref="E20:F20"/>
    <mergeCell ref="E21:F21"/>
    <mergeCell ref="E22:F22"/>
    <mergeCell ref="E23:F23"/>
    <mergeCell ref="E24:F24"/>
    <mergeCell ref="A17:F17"/>
    <mergeCell ref="E19:F19"/>
    <mergeCell ref="A16:F16"/>
    <mergeCell ref="C2:D2"/>
    <mergeCell ref="C3:D3"/>
    <mergeCell ref="C4:D4"/>
    <mergeCell ref="C5:D5"/>
  </mergeCells>
  <pageMargins left="0.25" right="0.25"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280776-6547-43D7-B12E-C547791B06F6}">
          <x14:formula1>
            <xm:f>Data!$I$8:$I$20</xm:f>
          </x14:formula1>
          <xm:sqref>C3:D3</xm:sqref>
        </x14:dataValidation>
        <x14:dataValidation type="list" allowBlank="1" showInputMessage="1" showErrorMessage="1" xr:uid="{35BA90A7-1DAC-4281-976B-7D76BE2BB661}">
          <x14:formula1>
            <xm:f>Data!$K$7:$K$54</xm:f>
          </x14:formula1>
          <xm:sqref>C2:D2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7F64D-1A41-49B5-803C-786FD2D76878}">
  <sheetPr>
    <pageSetUpPr fitToPage="1"/>
  </sheetPr>
  <dimension ref="A1:N54"/>
  <sheetViews>
    <sheetView tabSelected="1" topLeftCell="A13" zoomScale="85" zoomScaleNormal="85" workbookViewId="0">
      <selection activeCell="F19" sqref="F19"/>
    </sheetView>
  </sheetViews>
  <sheetFormatPr defaultColWidth="9.140625" defaultRowHeight="13.9"/>
  <cols>
    <col min="1" max="1" width="5.85546875" style="2" customWidth="1"/>
    <col min="2" max="3" width="10.7109375" style="2" customWidth="1"/>
    <col min="4" max="4" width="11.85546875" style="2" customWidth="1"/>
    <col min="5" max="5" width="9.140625" style="4" customWidth="1"/>
    <col min="6" max="7" width="32.5703125" style="2" customWidth="1"/>
    <col min="8" max="8" width="32.7109375" style="2" customWidth="1"/>
    <col min="9" max="9" width="10.85546875" style="4" customWidth="1"/>
    <col min="10" max="16384" width="9.140625" style="2"/>
  </cols>
  <sheetData>
    <row r="1" spans="1:14" ht="14.45">
      <c r="A1" s="2" t="s">
        <v>19</v>
      </c>
      <c r="B1" s="139"/>
      <c r="C1" s="139"/>
      <c r="D1" s="139"/>
      <c r="E1" s="139"/>
      <c r="G1" s="17" t="s">
        <v>20</v>
      </c>
      <c r="H1" s="3"/>
    </row>
    <row r="3" spans="1:14" ht="9.9499999999999993" customHeight="1">
      <c r="A3" s="15"/>
      <c r="B3" s="15"/>
      <c r="C3" s="15"/>
      <c r="D3" s="15"/>
      <c r="E3" s="5"/>
      <c r="F3" s="5"/>
      <c r="G3" s="5"/>
      <c r="H3" s="5"/>
      <c r="I3" s="5"/>
      <c r="J3" s="5"/>
    </row>
    <row r="4" spans="1:14" ht="28.9" customHeight="1">
      <c r="A4" s="140" t="s">
        <v>21</v>
      </c>
      <c r="B4" s="141"/>
      <c r="C4" s="141"/>
      <c r="D4" s="141"/>
      <c r="E4" s="52" t="s">
        <v>22</v>
      </c>
      <c r="F4" s="98" t="s">
        <v>23</v>
      </c>
      <c r="G4" s="117"/>
      <c r="H4" s="99"/>
      <c r="J4" s="30"/>
    </row>
    <row r="5" spans="1:14" ht="14.45" customHeight="1">
      <c r="A5" s="141"/>
      <c r="B5" s="141"/>
      <c r="C5" s="141"/>
      <c r="D5" s="141"/>
      <c r="E5" s="53" t="s">
        <v>24</v>
      </c>
      <c r="F5" s="118"/>
      <c r="G5" s="119"/>
      <c r="H5" s="103"/>
      <c r="J5" s="30"/>
    </row>
    <row r="6" spans="1:14" s="9" customFormat="1" ht="31.15" customHeight="1">
      <c r="A6" s="141"/>
      <c r="B6" s="141"/>
      <c r="C6" s="141"/>
      <c r="D6" s="141"/>
      <c r="E6" s="54" t="s">
        <v>25</v>
      </c>
      <c r="F6" s="11" t="s">
        <v>26</v>
      </c>
      <c r="G6" s="11" t="s">
        <v>27</v>
      </c>
      <c r="H6" s="11" t="s">
        <v>27</v>
      </c>
      <c r="I6" s="24"/>
    </row>
    <row r="7" spans="1:14" s="9" customFormat="1" ht="30" customHeight="1">
      <c r="A7" s="141"/>
      <c r="B7" s="141"/>
      <c r="C7" s="141"/>
      <c r="D7" s="141"/>
      <c r="E7" s="55" t="s">
        <v>28</v>
      </c>
      <c r="F7" s="7" t="s">
        <v>29</v>
      </c>
      <c r="G7" s="7" t="s">
        <v>27</v>
      </c>
      <c r="H7" s="7" t="s">
        <v>27</v>
      </c>
      <c r="I7" s="24"/>
    </row>
    <row r="8" spans="1:14" s="14" customFormat="1" ht="44.45" customHeight="1">
      <c r="A8" s="142" t="s">
        <v>30</v>
      </c>
      <c r="B8" s="142"/>
      <c r="C8" s="142"/>
      <c r="D8" s="142"/>
      <c r="E8" s="56" t="s">
        <v>31</v>
      </c>
      <c r="F8" s="143" t="s">
        <v>32</v>
      </c>
      <c r="G8" s="143"/>
      <c r="H8" s="143"/>
      <c r="I8" s="101" t="s">
        <v>33</v>
      </c>
      <c r="J8" s="13"/>
      <c r="K8" s="13"/>
    </row>
    <row r="9" spans="1:14" ht="49.15" customHeight="1">
      <c r="A9" s="144" t="s">
        <v>34</v>
      </c>
      <c r="B9" s="144"/>
      <c r="C9" s="144"/>
      <c r="D9" s="145"/>
      <c r="E9" s="7">
        <v>10</v>
      </c>
      <c r="F9" s="18" t="s">
        <v>35</v>
      </c>
      <c r="G9" s="18"/>
      <c r="H9" s="18"/>
      <c r="I9" s="134">
        <f>IF(F9="N/A",4)+IF(G9="N/A",3)+IF(H9="N/A",3)+SUM(F9:H9)</f>
        <v>4</v>
      </c>
      <c r="J9" s="30"/>
      <c r="K9" s="15"/>
      <c r="L9" s="15"/>
      <c r="M9" s="15"/>
      <c r="N9" s="15"/>
    </row>
    <row r="10" spans="1:14" ht="42" customHeight="1">
      <c r="A10" s="136" t="s">
        <v>36</v>
      </c>
      <c r="B10" s="137"/>
      <c r="C10" s="137"/>
      <c r="D10" s="137"/>
      <c r="E10" s="138"/>
      <c r="F10" s="20" t="s">
        <v>37</v>
      </c>
      <c r="G10" s="20"/>
      <c r="H10" s="20"/>
      <c r="I10" s="135"/>
      <c r="J10" s="30"/>
      <c r="K10" s="15"/>
      <c r="L10" s="15"/>
      <c r="M10" s="15"/>
      <c r="N10" s="15"/>
    </row>
    <row r="11" spans="1:14" ht="84.6" customHeight="1">
      <c r="A11" s="146" t="s">
        <v>38</v>
      </c>
      <c r="B11" s="146"/>
      <c r="C11" s="146"/>
      <c r="D11" s="147"/>
      <c r="E11" s="102">
        <v>10</v>
      </c>
      <c r="F11" s="18" t="s">
        <v>35</v>
      </c>
      <c r="G11" s="18"/>
      <c r="H11" s="18"/>
      <c r="I11" s="134">
        <f t="shared" ref="I11" si="0">IF(F11="N/A",4)+IF(G11="N/A",3)+IF(H11="N/A",3)+SUM(F11:H11)</f>
        <v>4</v>
      </c>
      <c r="J11" s="6"/>
      <c r="K11" s="15"/>
      <c r="L11" s="15"/>
      <c r="M11" s="15"/>
      <c r="N11" s="15"/>
    </row>
    <row r="12" spans="1:14" ht="42" customHeight="1">
      <c r="A12" s="136" t="s">
        <v>39</v>
      </c>
      <c r="B12" s="137"/>
      <c r="C12" s="137"/>
      <c r="D12" s="137"/>
      <c r="E12" s="138"/>
      <c r="F12" s="20" t="s">
        <v>37</v>
      </c>
      <c r="G12" s="20"/>
      <c r="H12" s="20"/>
      <c r="I12" s="135"/>
      <c r="J12" s="6"/>
      <c r="K12" s="15"/>
      <c r="L12" s="15"/>
      <c r="M12" s="15"/>
      <c r="N12" s="15"/>
    </row>
    <row r="13" spans="1:14" ht="45" customHeight="1">
      <c r="A13" s="145" t="s">
        <v>40</v>
      </c>
      <c r="B13" s="148"/>
      <c r="C13" s="148"/>
      <c r="D13" s="149"/>
      <c r="E13" s="102">
        <v>10</v>
      </c>
      <c r="F13" s="18" t="s">
        <v>35</v>
      </c>
      <c r="G13" s="12"/>
      <c r="H13" s="12"/>
      <c r="I13" s="134">
        <f t="shared" ref="I13" si="1">IF(F13="N/A",4)+IF(G13="N/A",3)+IF(H13="N/A",3)+SUM(F13:H13)</f>
        <v>4</v>
      </c>
      <c r="J13" s="6"/>
      <c r="K13" s="15"/>
      <c r="L13" s="15"/>
      <c r="M13" s="15"/>
      <c r="N13" s="15"/>
    </row>
    <row r="14" spans="1:14" ht="42" customHeight="1">
      <c r="A14" s="136" t="s">
        <v>41</v>
      </c>
      <c r="B14" s="137"/>
      <c r="C14" s="137"/>
      <c r="D14" s="137"/>
      <c r="E14" s="138"/>
      <c r="F14" s="20" t="s">
        <v>37</v>
      </c>
      <c r="G14" s="20"/>
      <c r="H14" s="20"/>
      <c r="I14" s="135"/>
      <c r="J14" s="6"/>
      <c r="K14" s="15"/>
      <c r="L14" s="15"/>
      <c r="M14" s="15"/>
      <c r="N14" s="15"/>
    </row>
    <row r="15" spans="1:14" ht="112.9" customHeight="1">
      <c r="A15" s="145" t="s">
        <v>42</v>
      </c>
      <c r="B15" s="148"/>
      <c r="C15" s="148"/>
      <c r="D15" s="149"/>
      <c r="E15" s="102">
        <v>10</v>
      </c>
      <c r="F15" s="12"/>
      <c r="G15" s="12"/>
      <c r="H15" s="12"/>
      <c r="I15" s="134">
        <f t="shared" ref="I15" si="2">IF(F15="N/A",4)+IF(G15="N/A",3)+IF(H15="N/A",3)+SUM(F15:H15)</f>
        <v>0</v>
      </c>
      <c r="J15" s="6"/>
      <c r="K15" s="6"/>
    </row>
    <row r="16" spans="1:14" ht="42" customHeight="1">
      <c r="A16" s="136" t="s">
        <v>43</v>
      </c>
      <c r="B16" s="137"/>
      <c r="C16" s="137"/>
      <c r="D16" s="137"/>
      <c r="E16" s="138"/>
      <c r="F16" s="20"/>
      <c r="G16" s="20"/>
      <c r="H16" s="20"/>
      <c r="I16" s="135"/>
      <c r="J16" s="6"/>
      <c r="K16" s="6"/>
    </row>
    <row r="17" spans="1:11" ht="99" customHeight="1">
      <c r="A17" s="150" t="s">
        <v>44</v>
      </c>
      <c r="B17" s="151"/>
      <c r="C17" s="151"/>
      <c r="D17" s="151"/>
      <c r="E17" s="102">
        <v>10</v>
      </c>
      <c r="F17" s="12" t="s">
        <v>35</v>
      </c>
      <c r="G17" s="12"/>
      <c r="H17" s="12"/>
      <c r="I17" s="134">
        <f t="shared" ref="I17" si="3">IF(F17="N/A",4)+IF(G17="N/A",3)+IF(H17="N/A",3)+SUM(F17:H17)</f>
        <v>4</v>
      </c>
      <c r="J17" s="6"/>
      <c r="K17" s="6"/>
    </row>
    <row r="18" spans="1:11" ht="42" customHeight="1">
      <c r="A18" s="136" t="s">
        <v>45</v>
      </c>
      <c r="B18" s="137"/>
      <c r="C18" s="137"/>
      <c r="D18" s="137"/>
      <c r="E18" s="138"/>
      <c r="F18" s="20" t="s">
        <v>37</v>
      </c>
      <c r="G18" s="20"/>
      <c r="H18" s="20"/>
      <c r="I18" s="135"/>
      <c r="J18" s="6"/>
      <c r="K18" s="6"/>
    </row>
    <row r="19" spans="1:11" ht="54" customHeight="1">
      <c r="A19" s="152" t="s">
        <v>46</v>
      </c>
      <c r="B19" s="153"/>
      <c r="C19" s="153"/>
      <c r="D19" s="154"/>
      <c r="E19" s="102">
        <v>10</v>
      </c>
      <c r="F19" s="12"/>
      <c r="G19" s="12"/>
      <c r="H19" s="12"/>
      <c r="I19" s="134">
        <f t="shared" ref="I19" si="4">IF(F19="N/A",4)+IF(G19="N/A",3)+IF(H19="N/A",3)+SUM(F19:H19)</f>
        <v>0</v>
      </c>
      <c r="J19" s="6"/>
      <c r="K19" s="6"/>
    </row>
    <row r="20" spans="1:11" ht="42" customHeight="1">
      <c r="A20" s="136" t="s">
        <v>47</v>
      </c>
      <c r="B20" s="137"/>
      <c r="C20" s="137"/>
      <c r="D20" s="137"/>
      <c r="E20" s="138"/>
      <c r="F20" s="20"/>
      <c r="G20" s="20"/>
      <c r="H20" s="20"/>
      <c r="I20" s="135"/>
      <c r="J20" s="6"/>
      <c r="K20" s="6"/>
    </row>
    <row r="21" spans="1:11" ht="70.900000000000006" customHeight="1">
      <c r="A21" s="155" t="s">
        <v>48</v>
      </c>
      <c r="B21" s="148"/>
      <c r="C21" s="148"/>
      <c r="D21" s="149"/>
      <c r="E21" s="102">
        <v>10</v>
      </c>
      <c r="F21" s="12"/>
      <c r="G21" s="12"/>
      <c r="H21" s="12"/>
      <c r="I21" s="134">
        <f t="shared" ref="I21" si="5">IF(F21="N/A",4)+IF(G21="N/A",3)+IF(H21="N/A",3)+SUM(F21:H21)</f>
        <v>0</v>
      </c>
      <c r="J21" s="6"/>
      <c r="K21" s="6"/>
    </row>
    <row r="22" spans="1:11" ht="42" customHeight="1">
      <c r="A22" s="136" t="s">
        <v>49</v>
      </c>
      <c r="B22" s="137"/>
      <c r="C22" s="137"/>
      <c r="D22" s="137"/>
      <c r="E22" s="138"/>
      <c r="F22" s="20"/>
      <c r="G22" s="20"/>
      <c r="H22" s="20"/>
      <c r="I22" s="135"/>
      <c r="J22" s="6"/>
      <c r="K22" s="6"/>
    </row>
    <row r="23" spans="1:11" ht="79.900000000000006" customHeight="1">
      <c r="A23" s="155" t="s">
        <v>50</v>
      </c>
      <c r="B23" s="148"/>
      <c r="C23" s="148"/>
      <c r="D23" s="149"/>
      <c r="E23" s="102">
        <v>10</v>
      </c>
      <c r="F23" s="12"/>
      <c r="G23" s="12"/>
      <c r="H23" s="12"/>
      <c r="I23" s="134">
        <f t="shared" ref="I23" si="6">IF(F23="N/A",4)+IF(G23="N/A",3)+IF(H23="N/A",3)+SUM(F23:H23)</f>
        <v>0</v>
      </c>
      <c r="J23" s="6"/>
      <c r="K23" s="6"/>
    </row>
    <row r="24" spans="1:11" ht="42" customHeight="1">
      <c r="A24" s="136" t="s">
        <v>51</v>
      </c>
      <c r="B24" s="137"/>
      <c r="C24" s="137"/>
      <c r="D24" s="137"/>
      <c r="E24" s="138"/>
      <c r="F24" s="20"/>
      <c r="G24" s="20"/>
      <c r="H24" s="20"/>
      <c r="I24" s="135"/>
      <c r="J24" s="6"/>
      <c r="K24" s="6"/>
    </row>
    <row r="25" spans="1:11" ht="40.9" customHeight="1">
      <c r="A25" s="151" t="s">
        <v>52</v>
      </c>
      <c r="B25" s="151"/>
      <c r="C25" s="151"/>
      <c r="D25" s="151"/>
      <c r="E25" s="7">
        <v>10</v>
      </c>
      <c r="F25" s="12"/>
      <c r="G25" s="12"/>
      <c r="H25" s="12"/>
      <c r="I25" s="134">
        <f t="shared" ref="I25" si="7">IF(F25="N/A",4)+IF(G25="N/A",3)+IF(H25="N/A",3)+SUM(F25:H25)</f>
        <v>0</v>
      </c>
      <c r="J25" s="6"/>
      <c r="K25" s="6"/>
    </row>
    <row r="26" spans="1:11" ht="42" customHeight="1">
      <c r="A26" s="136" t="s">
        <v>53</v>
      </c>
      <c r="B26" s="137"/>
      <c r="C26" s="137"/>
      <c r="D26" s="137"/>
      <c r="E26" s="138"/>
      <c r="F26" s="20"/>
      <c r="G26" s="20"/>
      <c r="H26" s="20"/>
      <c r="I26" s="135"/>
      <c r="J26" s="6"/>
      <c r="K26" s="6"/>
    </row>
    <row r="27" spans="1:11" ht="84" customHeight="1">
      <c r="A27" s="151" t="s">
        <v>54</v>
      </c>
      <c r="B27" s="151"/>
      <c r="C27" s="151"/>
      <c r="D27" s="151"/>
      <c r="E27" s="7">
        <v>10</v>
      </c>
      <c r="F27" s="12"/>
      <c r="G27" s="12"/>
      <c r="H27" s="12"/>
      <c r="I27" s="134">
        <f t="shared" ref="I27" si="8">IF(F27="N/A",4)+IF(G27="N/A",3)+IF(H27="N/A",3)+SUM(F27:H27)</f>
        <v>0</v>
      </c>
      <c r="J27" s="6"/>
      <c r="K27" s="6"/>
    </row>
    <row r="28" spans="1:11" ht="42.6" customHeight="1">
      <c r="A28" s="136" t="s">
        <v>55</v>
      </c>
      <c r="B28" s="137"/>
      <c r="C28" s="137"/>
      <c r="D28" s="137"/>
      <c r="E28" s="138"/>
      <c r="F28" s="20"/>
      <c r="G28" s="20"/>
      <c r="H28" s="20"/>
      <c r="I28" s="135"/>
      <c r="J28" s="6"/>
      <c r="K28" s="6"/>
    </row>
    <row r="29" spans="1:11" ht="24" customHeight="1">
      <c r="A29" s="156"/>
      <c r="B29" s="156"/>
      <c r="C29" s="156"/>
      <c r="D29" s="156"/>
      <c r="E29" s="156"/>
      <c r="F29" s="156"/>
      <c r="G29" s="156"/>
      <c r="H29" s="156"/>
      <c r="I29" s="157"/>
      <c r="J29" s="6"/>
      <c r="K29" s="6"/>
    </row>
    <row r="30" spans="1:11" ht="39.6" customHeight="1">
      <c r="A30" s="143" t="s">
        <v>56</v>
      </c>
      <c r="B30" s="143"/>
      <c r="C30" s="143"/>
      <c r="D30" s="143"/>
      <c r="E30" s="101" t="s">
        <v>31</v>
      </c>
      <c r="F30" s="158" t="s">
        <v>57</v>
      </c>
      <c r="G30" s="159"/>
      <c r="H30" s="159"/>
      <c r="I30" s="56" t="s">
        <v>33</v>
      </c>
      <c r="J30" s="19"/>
      <c r="K30" s="6"/>
    </row>
    <row r="31" spans="1:11" ht="68.45" customHeight="1">
      <c r="A31" s="160" t="s">
        <v>58</v>
      </c>
      <c r="B31" s="161"/>
      <c r="C31" s="161"/>
      <c r="D31" s="161"/>
      <c r="E31" s="103">
        <v>10</v>
      </c>
      <c r="F31" s="162"/>
      <c r="G31" s="163"/>
      <c r="H31" s="164"/>
      <c r="I31" s="165">
        <f>IF(F31="N/A",10)+SUM(F31)</f>
        <v>0</v>
      </c>
      <c r="J31" s="6"/>
      <c r="K31" s="6"/>
    </row>
    <row r="32" spans="1:11" ht="42" customHeight="1">
      <c r="A32" s="167" t="s">
        <v>59</v>
      </c>
      <c r="B32" s="168"/>
      <c r="C32" s="168"/>
      <c r="D32" s="168"/>
      <c r="E32" s="169"/>
      <c r="F32" s="170"/>
      <c r="G32" s="171"/>
      <c r="H32" s="172"/>
      <c r="I32" s="166"/>
      <c r="J32" s="6"/>
      <c r="K32" s="6"/>
    </row>
    <row r="33" spans="1:11" ht="41.45" customHeight="1">
      <c r="A33" s="160" t="s">
        <v>60</v>
      </c>
      <c r="B33" s="161"/>
      <c r="C33" s="161"/>
      <c r="D33" s="161"/>
      <c r="E33" s="103">
        <v>10</v>
      </c>
      <c r="F33" s="162"/>
      <c r="G33" s="163"/>
      <c r="H33" s="164"/>
      <c r="I33" s="165">
        <f t="shared" ref="I33" si="9">IF(F33="N/A",10)+SUM(F33)</f>
        <v>0</v>
      </c>
      <c r="J33" s="6"/>
      <c r="K33" s="6"/>
    </row>
    <row r="34" spans="1:11" ht="42" customHeight="1">
      <c r="A34" s="167" t="s">
        <v>61</v>
      </c>
      <c r="B34" s="168"/>
      <c r="C34" s="168"/>
      <c r="D34" s="168"/>
      <c r="E34" s="169"/>
      <c r="F34" s="170"/>
      <c r="G34" s="171"/>
      <c r="H34" s="172"/>
      <c r="I34" s="166"/>
      <c r="J34" s="6"/>
      <c r="K34" s="6"/>
    </row>
    <row r="35" spans="1:11" ht="57.6" customHeight="1">
      <c r="A35" s="161" t="s">
        <v>62</v>
      </c>
      <c r="B35" s="161"/>
      <c r="C35" s="161"/>
      <c r="D35" s="161"/>
      <c r="E35" s="103">
        <v>10</v>
      </c>
      <c r="F35" s="162"/>
      <c r="G35" s="163"/>
      <c r="H35" s="164"/>
      <c r="I35" s="165">
        <f t="shared" ref="I35" si="10">IF(F35="N/A",10)+SUM(F35)</f>
        <v>0</v>
      </c>
      <c r="J35" s="6"/>
      <c r="K35" s="6"/>
    </row>
    <row r="36" spans="1:11" ht="42" customHeight="1">
      <c r="A36" s="167" t="s">
        <v>63</v>
      </c>
      <c r="B36" s="168"/>
      <c r="C36" s="168"/>
      <c r="D36" s="168"/>
      <c r="E36" s="169"/>
      <c r="F36" s="170"/>
      <c r="G36" s="171"/>
      <c r="H36" s="172"/>
      <c r="I36" s="166"/>
      <c r="J36" s="6"/>
      <c r="K36" s="6"/>
    </row>
    <row r="37" spans="1:11" ht="28.9" customHeight="1">
      <c r="A37" s="173" t="s">
        <v>64</v>
      </c>
      <c r="B37" s="173"/>
      <c r="C37" s="173"/>
      <c r="D37" s="173"/>
      <c r="E37" s="104">
        <v>10</v>
      </c>
      <c r="F37" s="162"/>
      <c r="G37" s="163"/>
      <c r="H37" s="164"/>
      <c r="I37" s="165">
        <f t="shared" ref="I37" si="11">IF(F37="N/A",10)+SUM(F37)</f>
        <v>0</v>
      </c>
      <c r="J37" s="6"/>
      <c r="K37" s="6"/>
    </row>
    <row r="38" spans="1:11" ht="42" customHeight="1">
      <c r="A38" s="167" t="s">
        <v>65</v>
      </c>
      <c r="B38" s="168"/>
      <c r="C38" s="168"/>
      <c r="D38" s="168"/>
      <c r="E38" s="169"/>
      <c r="F38" s="170"/>
      <c r="G38" s="171"/>
      <c r="H38" s="172"/>
      <c r="I38" s="166"/>
      <c r="J38" s="6"/>
      <c r="K38" s="6"/>
    </row>
    <row r="39" spans="1:11" ht="42.75" customHeight="1">
      <c r="A39" s="160" t="s">
        <v>66</v>
      </c>
      <c r="B39" s="161"/>
      <c r="C39" s="161"/>
      <c r="D39" s="161"/>
      <c r="E39" s="103">
        <v>10</v>
      </c>
      <c r="F39" s="162"/>
      <c r="G39" s="163"/>
      <c r="H39" s="164"/>
      <c r="I39" s="165">
        <f t="shared" ref="I39" si="12">IF(F39="N/A",10)+SUM(F39)</f>
        <v>0</v>
      </c>
      <c r="J39" s="6"/>
      <c r="K39" s="6"/>
    </row>
    <row r="40" spans="1:11" ht="42" customHeight="1">
      <c r="A40" s="167" t="s">
        <v>67</v>
      </c>
      <c r="B40" s="168"/>
      <c r="C40" s="168"/>
      <c r="D40" s="168"/>
      <c r="E40" s="169"/>
      <c r="F40" s="170"/>
      <c r="G40" s="171"/>
      <c r="H40" s="172"/>
      <c r="I40" s="166"/>
      <c r="J40" s="6"/>
      <c r="K40" s="6"/>
    </row>
    <row r="41" spans="1:11" ht="16.899999999999999" customHeight="1">
      <c r="A41" s="174" t="s">
        <v>68</v>
      </c>
      <c r="B41" s="174"/>
      <c r="C41" s="174"/>
      <c r="D41" s="174"/>
      <c r="E41" s="105">
        <f>SUM(E39+E37+E35+E33+E31+E27+E25+E23+E21+E19+E17+E15+E13+E11+E9)</f>
        <v>150</v>
      </c>
      <c r="H41" s="108" t="s">
        <v>69</v>
      </c>
      <c r="I41" s="106">
        <f>SUM(I39+I37+I35+I33+I31+I27+I25+I23+I21+I19+I17+I15+I13+I11+I9)</f>
        <v>16</v>
      </c>
      <c r="J41" s="6"/>
      <c r="K41" s="6"/>
    </row>
    <row r="42" spans="1:11" ht="16.899999999999999" customHeight="1">
      <c r="A42" s="17"/>
      <c r="B42" s="17"/>
      <c r="C42" s="17"/>
      <c r="D42" s="17"/>
      <c r="J42" s="6"/>
      <c r="K42" s="6"/>
    </row>
    <row r="43" spans="1:11" ht="28.15">
      <c r="A43" s="57"/>
      <c r="B43" s="57"/>
      <c r="C43" s="57"/>
      <c r="D43" s="58" t="s">
        <v>70</v>
      </c>
      <c r="E43" s="175"/>
      <c r="F43" s="176"/>
      <c r="G43" s="120"/>
      <c r="H43" s="120"/>
      <c r="I43" s="177" t="s">
        <v>71</v>
      </c>
      <c r="J43" s="30"/>
      <c r="K43" s="6"/>
    </row>
    <row r="44" spans="1:11" ht="18">
      <c r="A44" s="57"/>
      <c r="B44" s="57"/>
      <c r="C44" s="57"/>
      <c r="D44" s="59" t="s">
        <v>72</v>
      </c>
      <c r="E44" s="178"/>
      <c r="F44" s="179"/>
      <c r="G44" s="7"/>
      <c r="H44" s="7"/>
      <c r="I44" s="177"/>
      <c r="J44" s="30"/>
      <c r="K44" s="6"/>
    </row>
    <row r="45" spans="1:11" ht="24" customHeight="1">
      <c r="A45" s="180" t="s">
        <v>73</v>
      </c>
      <c r="B45" s="180"/>
      <c r="C45" s="180"/>
      <c r="D45" s="180"/>
      <c r="E45" s="181" t="s">
        <v>74</v>
      </c>
      <c r="F45" s="182"/>
      <c r="G45" s="182"/>
      <c r="H45" s="183"/>
      <c r="I45" s="177"/>
      <c r="J45" s="6"/>
      <c r="K45" s="6"/>
    </row>
    <row r="46" spans="1:11" ht="32.450000000000003" customHeight="1">
      <c r="A46" s="184" t="s">
        <v>75</v>
      </c>
      <c r="B46" s="185"/>
      <c r="C46" s="185"/>
      <c r="D46" s="185"/>
      <c r="E46" s="162"/>
      <c r="F46" s="164"/>
      <c r="G46" s="1"/>
      <c r="H46" s="7"/>
      <c r="I46" s="11"/>
      <c r="J46" s="30"/>
    </row>
    <row r="47" spans="1:11" ht="34.15" customHeight="1">
      <c r="A47" s="184" t="s">
        <v>76</v>
      </c>
      <c r="B47" s="185"/>
      <c r="C47" s="185"/>
      <c r="D47" s="185"/>
      <c r="E47" s="162"/>
      <c r="F47" s="164"/>
      <c r="G47" s="1"/>
      <c r="H47" s="7"/>
      <c r="I47" s="11"/>
      <c r="J47" s="30"/>
    </row>
    <row r="48" spans="1:11" ht="22.15" customHeight="1">
      <c r="A48" s="184" t="s">
        <v>77</v>
      </c>
      <c r="B48" s="185"/>
      <c r="C48" s="185"/>
      <c r="D48" s="185"/>
      <c r="E48" s="162"/>
      <c r="F48" s="164"/>
      <c r="G48" s="1"/>
      <c r="H48" s="7"/>
      <c r="I48" s="11"/>
    </row>
    <row r="49" spans="1:9" ht="78.75" customHeight="1">
      <c r="A49" s="184" t="s">
        <v>78</v>
      </c>
      <c r="B49" s="185"/>
      <c r="C49" s="185"/>
      <c r="D49" s="185"/>
      <c r="E49" s="162"/>
      <c r="F49" s="164"/>
      <c r="G49" s="1"/>
      <c r="H49" s="1"/>
      <c r="I49" s="11"/>
    </row>
    <row r="50" spans="1:9" ht="32.450000000000003" customHeight="1">
      <c r="A50" s="184" t="s">
        <v>79</v>
      </c>
      <c r="B50" s="185"/>
      <c r="C50" s="185"/>
      <c r="D50" s="185"/>
      <c r="E50" s="162"/>
      <c r="F50" s="164"/>
      <c r="G50" s="1"/>
      <c r="H50" s="1"/>
      <c r="I50" s="11"/>
    </row>
    <row r="51" spans="1:9" ht="14.45">
      <c r="A51" s="6"/>
      <c r="B51" s="6"/>
      <c r="C51" s="6"/>
      <c r="D51" s="6"/>
      <c r="E51" s="8"/>
      <c r="F51" s="6"/>
      <c r="G51" s="6"/>
      <c r="H51" s="6"/>
      <c r="I51" s="8"/>
    </row>
    <row r="52" spans="1:9" ht="14.45">
      <c r="A52" s="6"/>
      <c r="B52" s="6"/>
      <c r="C52" s="6"/>
      <c r="D52" s="6"/>
      <c r="E52" s="8"/>
      <c r="F52" s="6"/>
      <c r="G52" s="6"/>
      <c r="H52" s="6"/>
      <c r="I52" s="8"/>
    </row>
    <row r="53" spans="1:9" ht="14.45">
      <c r="A53" s="6"/>
      <c r="B53" s="6"/>
      <c r="C53" s="6"/>
      <c r="D53" s="6"/>
      <c r="E53" s="8"/>
      <c r="F53" s="6"/>
      <c r="G53" s="6"/>
      <c r="H53" s="6"/>
      <c r="I53" s="8"/>
    </row>
    <row r="54" spans="1:9" ht="14.45">
      <c r="A54" s="6"/>
      <c r="B54" s="6"/>
      <c r="C54" s="6"/>
      <c r="D54" s="6"/>
      <c r="E54" s="8"/>
      <c r="F54" s="6"/>
      <c r="G54" s="6"/>
      <c r="H54" s="6"/>
      <c r="I54" s="8"/>
    </row>
  </sheetData>
  <sheetProtection algorithmName="SHA-512" hashValue="oBZ24SRPa6m2NrBaJcnjLpg6bYMHlq3ZDYT9a4cj0hMrXx3YnsuN5Zr3h6xlyFDuiuq26gWfGHBMgt8lNKSymA==" saltValue="UX6uqP8UQk3eKk+vn65e1w==" spinCount="100000" sheet="1" objects="1" scenarios="1"/>
  <protectedRanges>
    <protectedRange sqref="E46:I50" name="Range5"/>
    <protectedRange sqref="E43:H44" name="Range4"/>
    <protectedRange sqref="F31:H40" name="Range3"/>
    <protectedRange sqref="F9:H28" name="Range2"/>
    <protectedRange sqref="F4:H7" name="Range1"/>
    <protectedRange sqref="H1" name="Range6"/>
    <protectedRange sqref="B1" name="Range7"/>
  </protectedRanges>
  <mergeCells count="78">
    <mergeCell ref="A49:D49"/>
    <mergeCell ref="E49:F49"/>
    <mergeCell ref="A50:D50"/>
    <mergeCell ref="E50:F50"/>
    <mergeCell ref="A46:D46"/>
    <mergeCell ref="E46:F46"/>
    <mergeCell ref="A47:D47"/>
    <mergeCell ref="E47:F47"/>
    <mergeCell ref="A48:D48"/>
    <mergeCell ref="E48:F48"/>
    <mergeCell ref="A41:D41"/>
    <mergeCell ref="E43:F43"/>
    <mergeCell ref="I43:I45"/>
    <mergeCell ref="E44:F44"/>
    <mergeCell ref="A45:D45"/>
    <mergeCell ref="E45:H45"/>
    <mergeCell ref="A37:D37"/>
    <mergeCell ref="F37:H37"/>
    <mergeCell ref="I37:I38"/>
    <mergeCell ref="A38:E38"/>
    <mergeCell ref="F38:H38"/>
    <mergeCell ref="A39:D39"/>
    <mergeCell ref="F39:H39"/>
    <mergeCell ref="I39:I40"/>
    <mergeCell ref="A40:E40"/>
    <mergeCell ref="F40:H40"/>
    <mergeCell ref="A33:D33"/>
    <mergeCell ref="F33:H33"/>
    <mergeCell ref="I33:I34"/>
    <mergeCell ref="A34:E34"/>
    <mergeCell ref="F34:H34"/>
    <mergeCell ref="A35:D35"/>
    <mergeCell ref="F35:H35"/>
    <mergeCell ref="I35:I36"/>
    <mergeCell ref="A36:E36"/>
    <mergeCell ref="F36:H36"/>
    <mergeCell ref="A29:I29"/>
    <mergeCell ref="A30:D30"/>
    <mergeCell ref="F30:H30"/>
    <mergeCell ref="A31:D31"/>
    <mergeCell ref="F31:H31"/>
    <mergeCell ref="I31:I32"/>
    <mergeCell ref="A32:E32"/>
    <mergeCell ref="F32:H32"/>
    <mergeCell ref="A27:D27"/>
    <mergeCell ref="I27:I28"/>
    <mergeCell ref="A28:E28"/>
    <mergeCell ref="A23:D23"/>
    <mergeCell ref="I23:I24"/>
    <mergeCell ref="A24:E24"/>
    <mergeCell ref="A25:D25"/>
    <mergeCell ref="I25:I26"/>
    <mergeCell ref="A26:E26"/>
    <mergeCell ref="A19:D19"/>
    <mergeCell ref="I19:I20"/>
    <mergeCell ref="A20:E20"/>
    <mergeCell ref="A21:D21"/>
    <mergeCell ref="I21:I22"/>
    <mergeCell ref="A22:E22"/>
    <mergeCell ref="A15:D15"/>
    <mergeCell ref="I15:I16"/>
    <mergeCell ref="A16:E16"/>
    <mergeCell ref="A17:D17"/>
    <mergeCell ref="I17:I18"/>
    <mergeCell ref="A18:E18"/>
    <mergeCell ref="A11:D11"/>
    <mergeCell ref="I11:I12"/>
    <mergeCell ref="A12:E12"/>
    <mergeCell ref="A13:D13"/>
    <mergeCell ref="I13:I14"/>
    <mergeCell ref="A14:E14"/>
    <mergeCell ref="I9:I10"/>
    <mergeCell ref="A10:E10"/>
    <mergeCell ref="B1:E1"/>
    <mergeCell ref="A4:D7"/>
    <mergeCell ref="A8:D8"/>
    <mergeCell ref="F8:H8"/>
    <mergeCell ref="A9:D9"/>
  </mergeCells>
  <conditionalFormatting sqref="I46:I50">
    <cfRule type="containsText" dxfId="16" priority="1" operator="containsText" text="Yes">
      <formula>NOT(ISERROR(SEARCH("Yes",I46)))</formula>
    </cfRule>
  </conditionalFormatting>
  <printOptions horizontalCentered="1"/>
  <pageMargins left="0.25" right="0.25" top="0.5" bottom="0.3" header="0.25" footer="0.2"/>
  <pageSetup scale="85" fitToHeight="0" orientation="landscape" r:id="rId1"/>
  <headerFooter differentFirst="1">
    <oddFooter>Page &amp;P of &amp;N</oddFooter>
  </headerFooter>
  <extLst>
    <ext xmlns:x14="http://schemas.microsoft.com/office/spreadsheetml/2009/9/main" uri="{CCE6A557-97BC-4b89-ADB6-D9C93CAAB3DF}">
      <x14:dataValidations xmlns:xm="http://schemas.microsoft.com/office/excel/2006/main" count="6">
        <x14:dataValidation type="list" allowBlank="1" showInputMessage="1" showErrorMessage="1" xr:uid="{8A8FC660-55CE-4D95-9289-9686EB8B808B}">
          <x14:formula1>
            <xm:f>Data!$K$2:$K$4</xm:f>
          </x14:formula1>
          <xm:sqref>I46:I50</xm:sqref>
        </x14:dataValidation>
        <x14:dataValidation type="list" allowBlank="1" showInputMessage="1" showErrorMessage="1" xr:uid="{63FA5CAC-E8B1-4BB1-AAA4-A471AC18B3B7}">
          <x14:formula1>
            <xm:f>Data!$I$2:$I$5</xm:f>
          </x14:formula1>
          <xm:sqref>F39:H39 F31:H31 F33:H33 F35:H35 F37:H37</xm:sqref>
        </x14:dataValidation>
        <x14:dataValidation type="list" allowBlank="1" showInputMessage="1" showErrorMessage="1" xr:uid="{4B2CE22E-0F2D-4EEF-8C2C-215DEF15BBE6}">
          <x14:formula1>
            <xm:f>Data!$G$2:$G$5</xm:f>
          </x14:formula1>
          <xm:sqref>G11:H11 G9:H9 G13:H13 G27:H27 G25:H25 G23:H23 G21:H21 G19:H19 G17:H17 G15:H15</xm:sqref>
        </x14:dataValidation>
        <x14:dataValidation type="list" allowBlank="1" showInputMessage="1" showErrorMessage="1" xr:uid="{2347F092-B6A5-4444-B118-869F237FB648}">
          <x14:formula1>
            <xm:f>Data!$E$2:$E$5</xm:f>
          </x14:formula1>
          <xm:sqref>F11 F9 F13 F15 F17 F19 F21 F23 F25 F27</xm:sqref>
        </x14:dataValidation>
        <x14:dataValidation type="list" allowBlank="1" showInputMessage="1" showErrorMessage="1" xr:uid="{7251D598-8992-4886-B134-DCC0BCD05BC2}">
          <x14:formula1>
            <xm:f>Data!$A$21:$A$26</xm:f>
          </x14:formula1>
          <xm:sqref>F6:H6</xm:sqref>
        </x14:dataValidation>
        <x14:dataValidation type="list" allowBlank="1" showInputMessage="1" showErrorMessage="1" xr:uid="{68CDB796-10AB-4327-9C42-D4F61B6FEEB3}">
          <x14:formula1>
            <xm:f>Data!$C$20:$C$28</xm:f>
          </x14:formula1>
          <xm:sqref>F7:H7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B28F1-A32A-400B-9086-7D7F75B6C405}">
  <sheetPr>
    <pageSetUpPr fitToPage="1"/>
  </sheetPr>
  <dimension ref="A1:N64"/>
  <sheetViews>
    <sheetView zoomScale="90" zoomScaleNormal="90" workbookViewId="0">
      <selection activeCell="H1" sqref="H1"/>
    </sheetView>
  </sheetViews>
  <sheetFormatPr defaultColWidth="9.140625" defaultRowHeight="13.9"/>
  <cols>
    <col min="1" max="1" width="5.85546875" style="2" customWidth="1"/>
    <col min="2" max="3" width="10.7109375" style="2" customWidth="1"/>
    <col min="4" max="4" width="11.85546875" style="2" customWidth="1"/>
    <col min="5" max="5" width="8.7109375" style="4" customWidth="1"/>
    <col min="6" max="6" width="30.7109375" style="2" customWidth="1"/>
    <col min="7" max="7" width="37.42578125" style="2" customWidth="1"/>
    <col min="8" max="8" width="34.140625" style="2" customWidth="1"/>
    <col min="9" max="9" width="10.85546875" style="4" customWidth="1"/>
    <col min="10" max="16384" width="9.140625" style="2"/>
  </cols>
  <sheetData>
    <row r="1" spans="1:14" ht="14.45">
      <c r="A1" s="2" t="s">
        <v>19</v>
      </c>
      <c r="B1" s="139"/>
      <c r="C1" s="139"/>
      <c r="D1" s="139"/>
      <c r="E1" s="139"/>
      <c r="G1" s="17" t="s">
        <v>20</v>
      </c>
      <c r="H1" s="3"/>
    </row>
    <row r="3" spans="1:14" ht="9.9499999999999993" customHeight="1">
      <c r="A3" s="15"/>
      <c r="B3" s="15"/>
      <c r="C3" s="15"/>
      <c r="D3" s="15"/>
      <c r="E3" s="5"/>
      <c r="F3" s="5"/>
      <c r="G3" s="5"/>
      <c r="H3" s="5"/>
      <c r="I3" s="5"/>
      <c r="J3" s="5"/>
    </row>
    <row r="4" spans="1:14" ht="29.45" customHeight="1">
      <c r="A4" s="195" t="s">
        <v>80</v>
      </c>
      <c r="B4" s="195"/>
      <c r="C4" s="195"/>
      <c r="D4" s="195"/>
      <c r="E4" s="97" t="s">
        <v>22</v>
      </c>
      <c r="F4" s="98"/>
      <c r="G4" s="117"/>
      <c r="H4" s="99"/>
      <c r="J4" s="30"/>
    </row>
    <row r="5" spans="1:14" ht="14.45" customHeight="1">
      <c r="A5" s="195"/>
      <c r="B5" s="195"/>
      <c r="C5" s="195"/>
      <c r="D5" s="195"/>
      <c r="E5" s="98" t="s">
        <v>24</v>
      </c>
      <c r="F5" s="118"/>
      <c r="G5" s="119"/>
      <c r="H5" s="103"/>
      <c r="J5" s="30"/>
    </row>
    <row r="6" spans="1:14" s="9" customFormat="1" ht="37.9" customHeight="1">
      <c r="A6" s="195"/>
      <c r="B6" s="195"/>
      <c r="C6" s="195"/>
      <c r="D6" s="195"/>
      <c r="E6" s="99" t="s">
        <v>25</v>
      </c>
      <c r="F6" s="11" t="s">
        <v>27</v>
      </c>
      <c r="G6" s="11" t="s">
        <v>27</v>
      </c>
      <c r="H6" s="11" t="s">
        <v>27</v>
      </c>
      <c r="I6" s="24"/>
    </row>
    <row r="7" spans="1:14" s="9" customFormat="1" ht="30" customHeight="1">
      <c r="A7" s="195"/>
      <c r="B7" s="195"/>
      <c r="C7" s="195"/>
      <c r="D7" s="195"/>
      <c r="E7" s="100" t="s">
        <v>81</v>
      </c>
      <c r="F7" s="7" t="s">
        <v>27</v>
      </c>
      <c r="G7" s="7" t="s">
        <v>27</v>
      </c>
      <c r="H7" s="7" t="s">
        <v>27</v>
      </c>
      <c r="I7" s="24"/>
    </row>
    <row r="8" spans="1:14" s="14" customFormat="1" ht="44.45" customHeight="1">
      <c r="A8" s="188" t="s">
        <v>30</v>
      </c>
      <c r="B8" s="188"/>
      <c r="C8" s="188"/>
      <c r="D8" s="188"/>
      <c r="E8" s="101" t="s">
        <v>31</v>
      </c>
      <c r="F8" s="143" t="s">
        <v>82</v>
      </c>
      <c r="G8" s="143"/>
      <c r="H8" s="143"/>
      <c r="I8" s="101" t="s">
        <v>33</v>
      </c>
      <c r="J8" s="13"/>
      <c r="K8" s="13"/>
    </row>
    <row r="9" spans="1:14" ht="57.6" customHeight="1">
      <c r="A9" s="186" t="s">
        <v>83</v>
      </c>
      <c r="B9" s="186"/>
      <c r="C9" s="186"/>
      <c r="D9" s="187"/>
      <c r="E9" s="7">
        <v>10</v>
      </c>
      <c r="F9" s="18"/>
      <c r="G9" s="18"/>
      <c r="H9" s="18"/>
      <c r="I9" s="134">
        <f>IF(F9="N/A",4)+IF(G9="N/A",3)+IF(H9="N/A",3)+SUM(F9:H9)</f>
        <v>0</v>
      </c>
      <c r="J9" s="30"/>
      <c r="K9" s="15"/>
      <c r="L9" s="15"/>
      <c r="M9" s="15"/>
      <c r="N9" s="15"/>
    </row>
    <row r="10" spans="1:14" ht="42" customHeight="1">
      <c r="A10" s="167" t="s">
        <v>36</v>
      </c>
      <c r="B10" s="168"/>
      <c r="C10" s="168"/>
      <c r="D10" s="168"/>
      <c r="E10" s="169"/>
      <c r="F10" s="20"/>
      <c r="G10" s="20"/>
      <c r="H10" s="20"/>
      <c r="I10" s="135"/>
      <c r="J10" s="30"/>
      <c r="K10" s="15"/>
      <c r="L10" s="15"/>
      <c r="M10" s="15"/>
      <c r="N10" s="15"/>
    </row>
    <row r="11" spans="1:14" ht="84.6" customHeight="1">
      <c r="A11" s="189" t="s">
        <v>84</v>
      </c>
      <c r="B11" s="189"/>
      <c r="C11" s="189"/>
      <c r="D11" s="190"/>
      <c r="E11" s="102">
        <v>10</v>
      </c>
      <c r="F11" s="18"/>
      <c r="G11" s="18"/>
      <c r="H11" s="18"/>
      <c r="I11" s="134">
        <f t="shared" ref="I11" si="0">IF(F11="N/A",4)+IF(G11="N/A",3)+IF(H11="N/A",3)+SUM(F11:H11)</f>
        <v>0</v>
      </c>
      <c r="J11" s="6"/>
      <c r="K11" s="15"/>
      <c r="L11" s="15"/>
      <c r="M11" s="15"/>
      <c r="N11" s="15"/>
    </row>
    <row r="12" spans="1:14" ht="42" customHeight="1">
      <c r="A12" s="167" t="s">
        <v>39</v>
      </c>
      <c r="B12" s="168"/>
      <c r="C12" s="168"/>
      <c r="D12" s="168"/>
      <c r="E12" s="169"/>
      <c r="F12" s="20"/>
      <c r="G12" s="20"/>
      <c r="H12" s="20"/>
      <c r="I12" s="135"/>
      <c r="J12" s="6"/>
      <c r="K12" s="15"/>
      <c r="L12" s="15"/>
      <c r="M12" s="15"/>
      <c r="N12" s="15"/>
    </row>
    <row r="13" spans="1:14" ht="57.6" customHeight="1">
      <c r="A13" s="187" t="s">
        <v>85</v>
      </c>
      <c r="B13" s="191"/>
      <c r="C13" s="191"/>
      <c r="D13" s="192"/>
      <c r="E13" s="102">
        <v>10</v>
      </c>
      <c r="F13" s="18"/>
      <c r="G13" s="12"/>
      <c r="H13" s="12"/>
      <c r="I13" s="134">
        <f t="shared" ref="I13" si="1">IF(F13="N/A",4)+IF(G13="N/A",3)+IF(H13="N/A",3)+SUM(F13:H13)</f>
        <v>0</v>
      </c>
      <c r="J13" s="6"/>
      <c r="K13" s="15"/>
      <c r="L13" s="15"/>
      <c r="M13" s="15"/>
      <c r="N13" s="15"/>
    </row>
    <row r="14" spans="1:14" ht="42" customHeight="1">
      <c r="A14" s="167" t="s">
        <v>41</v>
      </c>
      <c r="B14" s="168"/>
      <c r="C14" s="168"/>
      <c r="D14" s="168"/>
      <c r="E14" s="169"/>
      <c r="F14" s="20"/>
      <c r="G14" s="20"/>
      <c r="H14" s="20"/>
      <c r="I14" s="135"/>
      <c r="J14" s="6"/>
      <c r="K14" s="15"/>
      <c r="L14" s="15"/>
      <c r="M14" s="15"/>
      <c r="N14" s="15"/>
    </row>
    <row r="15" spans="1:14" ht="30.6" customHeight="1">
      <c r="A15" s="187" t="s">
        <v>86</v>
      </c>
      <c r="B15" s="191"/>
      <c r="C15" s="191"/>
      <c r="D15" s="192"/>
      <c r="E15" s="102">
        <v>10</v>
      </c>
      <c r="F15" s="12"/>
      <c r="G15" s="12"/>
      <c r="H15" s="12"/>
      <c r="I15" s="134">
        <f t="shared" ref="I15" si="2">IF(F15="N/A",4)+IF(G15="N/A",3)+IF(H15="N/A",3)+SUM(F15:H15)</f>
        <v>0</v>
      </c>
      <c r="J15" s="6"/>
      <c r="K15" s="6"/>
    </row>
    <row r="16" spans="1:14" ht="42" customHeight="1">
      <c r="A16" s="167" t="s">
        <v>43</v>
      </c>
      <c r="B16" s="168"/>
      <c r="C16" s="168"/>
      <c r="D16" s="168"/>
      <c r="E16" s="169"/>
      <c r="F16" s="20"/>
      <c r="G16" s="20"/>
      <c r="H16" s="20"/>
      <c r="I16" s="135"/>
      <c r="J16" s="6"/>
      <c r="K16" s="6"/>
    </row>
    <row r="17" spans="1:11" ht="57" customHeight="1">
      <c r="A17" s="173" t="s">
        <v>87</v>
      </c>
      <c r="B17" s="173"/>
      <c r="C17" s="173"/>
      <c r="D17" s="173"/>
      <c r="E17" s="102">
        <v>10</v>
      </c>
      <c r="F17" s="12"/>
      <c r="G17" s="12"/>
      <c r="H17" s="12"/>
      <c r="I17" s="134">
        <f t="shared" ref="I17" si="3">IF(F17="N/A",4)+IF(G17="N/A",3)+IF(H17="N/A",3)+SUM(F17:H17)</f>
        <v>0</v>
      </c>
      <c r="J17" s="6"/>
      <c r="K17" s="6"/>
    </row>
    <row r="18" spans="1:11" ht="42" customHeight="1">
      <c r="A18" s="167" t="s">
        <v>45</v>
      </c>
      <c r="B18" s="168"/>
      <c r="C18" s="168"/>
      <c r="D18" s="168"/>
      <c r="E18" s="169"/>
      <c r="F18" s="20"/>
      <c r="G18" s="20"/>
      <c r="H18" s="20"/>
      <c r="I18" s="135"/>
      <c r="J18" s="6"/>
      <c r="K18" s="6"/>
    </row>
    <row r="19" spans="1:11" ht="43.9" customHeight="1">
      <c r="A19" s="193" t="s">
        <v>88</v>
      </c>
      <c r="B19" s="161"/>
      <c r="C19" s="161"/>
      <c r="D19" s="194"/>
      <c r="E19" s="102">
        <v>10</v>
      </c>
      <c r="F19" s="12"/>
      <c r="G19" s="12"/>
      <c r="H19" s="12"/>
      <c r="I19" s="134">
        <f t="shared" ref="I19" si="4">IF(F19="N/A",4)+IF(G19="N/A",3)+IF(H19="N/A",3)+SUM(F19:H19)</f>
        <v>0</v>
      </c>
      <c r="J19" s="6"/>
      <c r="K19" s="6"/>
    </row>
    <row r="20" spans="1:11" ht="42" customHeight="1">
      <c r="A20" s="167" t="s">
        <v>47</v>
      </c>
      <c r="B20" s="168"/>
      <c r="C20" s="168"/>
      <c r="D20" s="168"/>
      <c r="E20" s="169"/>
      <c r="F20" s="20"/>
      <c r="G20" s="20"/>
      <c r="H20" s="20"/>
      <c r="I20" s="135"/>
      <c r="J20" s="6"/>
      <c r="K20" s="6"/>
    </row>
    <row r="21" spans="1:11" ht="57.6" customHeight="1">
      <c r="A21" s="187" t="s">
        <v>89</v>
      </c>
      <c r="B21" s="191"/>
      <c r="C21" s="191"/>
      <c r="D21" s="192"/>
      <c r="E21" s="102">
        <v>10</v>
      </c>
      <c r="F21" s="12"/>
      <c r="G21" s="12"/>
      <c r="H21" s="12"/>
      <c r="I21" s="134">
        <f t="shared" ref="I21" si="5">IF(F21="N/A",4)+IF(G21="N/A",3)+IF(H21="N/A",3)+SUM(F21:H21)</f>
        <v>0</v>
      </c>
      <c r="J21" s="6"/>
      <c r="K21" s="6"/>
    </row>
    <row r="22" spans="1:11" ht="42" customHeight="1">
      <c r="A22" s="167" t="s">
        <v>49</v>
      </c>
      <c r="B22" s="168"/>
      <c r="C22" s="168"/>
      <c r="D22" s="168"/>
      <c r="E22" s="169"/>
      <c r="F22" s="20"/>
      <c r="G22" s="20"/>
      <c r="H22" s="20"/>
      <c r="I22" s="135"/>
      <c r="J22" s="6"/>
      <c r="K22" s="6"/>
    </row>
    <row r="23" spans="1:11" ht="72.599999999999994" customHeight="1">
      <c r="A23" s="187" t="s">
        <v>90</v>
      </c>
      <c r="B23" s="191"/>
      <c r="C23" s="191"/>
      <c r="D23" s="192"/>
      <c r="E23" s="102">
        <v>10</v>
      </c>
      <c r="F23" s="12"/>
      <c r="G23" s="12"/>
      <c r="H23" s="12"/>
      <c r="I23" s="134">
        <f t="shared" ref="I23" si="6">IF(F23="N/A",4)+IF(G23="N/A",3)+IF(H23="N/A",3)+SUM(F23:H23)</f>
        <v>0</v>
      </c>
      <c r="J23" s="6"/>
      <c r="K23" s="6"/>
    </row>
    <row r="24" spans="1:11" ht="42" customHeight="1">
      <c r="A24" s="167" t="s">
        <v>51</v>
      </c>
      <c r="B24" s="168"/>
      <c r="C24" s="168"/>
      <c r="D24" s="168"/>
      <c r="E24" s="169"/>
      <c r="F24" s="20"/>
      <c r="G24" s="20"/>
      <c r="H24" s="20"/>
      <c r="I24" s="135"/>
      <c r="J24" s="6"/>
      <c r="K24" s="6"/>
    </row>
    <row r="25" spans="1:11" ht="17.45" customHeight="1">
      <c r="A25" s="173" t="s">
        <v>91</v>
      </c>
      <c r="B25" s="173"/>
      <c r="C25" s="173"/>
      <c r="D25" s="173"/>
      <c r="E25" s="7">
        <v>10</v>
      </c>
      <c r="F25" s="12"/>
      <c r="G25" s="12"/>
      <c r="H25" s="12"/>
      <c r="I25" s="134">
        <f t="shared" ref="I25" si="7">IF(F25="N/A",4)+IF(G25="N/A",3)+IF(H25="N/A",3)+SUM(F25:H25)</f>
        <v>0</v>
      </c>
      <c r="J25" s="6"/>
      <c r="K25" s="6"/>
    </row>
    <row r="26" spans="1:11" ht="42" customHeight="1">
      <c r="A26" s="167" t="s">
        <v>53</v>
      </c>
      <c r="B26" s="168"/>
      <c r="C26" s="168"/>
      <c r="D26" s="168"/>
      <c r="E26" s="169"/>
      <c r="F26" s="20"/>
      <c r="G26" s="20"/>
      <c r="H26" s="20"/>
      <c r="I26" s="135"/>
      <c r="J26" s="6"/>
      <c r="K26" s="6"/>
    </row>
    <row r="27" spans="1:11" ht="86.45" customHeight="1">
      <c r="A27" s="173" t="s">
        <v>92</v>
      </c>
      <c r="B27" s="173"/>
      <c r="C27" s="173"/>
      <c r="D27" s="173"/>
      <c r="E27" s="7">
        <v>10</v>
      </c>
      <c r="F27" s="12"/>
      <c r="G27" s="12"/>
      <c r="H27" s="12"/>
      <c r="I27" s="134">
        <f t="shared" ref="I27" si="8">IF(F27="N/A",4)+IF(G27="N/A",3)+IF(H27="N/A",3)+SUM(F27:H27)</f>
        <v>0</v>
      </c>
      <c r="J27" s="6"/>
      <c r="K27" s="6"/>
    </row>
    <row r="28" spans="1:11" ht="42.6" customHeight="1">
      <c r="A28" s="167" t="s">
        <v>55</v>
      </c>
      <c r="B28" s="168"/>
      <c r="C28" s="168"/>
      <c r="D28" s="168"/>
      <c r="E28" s="169"/>
      <c r="F28" s="20"/>
      <c r="G28" s="20"/>
      <c r="H28" s="20"/>
      <c r="I28" s="135"/>
      <c r="J28" s="6"/>
      <c r="K28" s="6"/>
    </row>
    <row r="29" spans="1:11" ht="46.9" customHeight="1">
      <c r="A29" s="197" t="s">
        <v>93</v>
      </c>
      <c r="B29" s="197"/>
      <c r="C29" s="197"/>
      <c r="D29" s="198"/>
      <c r="E29" s="109">
        <v>10</v>
      </c>
      <c r="F29" s="12"/>
      <c r="G29" s="12"/>
      <c r="H29" s="12"/>
      <c r="I29" s="134">
        <f t="shared" ref="I29:I37" si="9">IF(F29="N/A",4)+IF(G29="N/A",3)+IF(H29="N/A",3)+SUM(F29:H29)</f>
        <v>0</v>
      </c>
      <c r="J29" s="6"/>
      <c r="K29" s="6"/>
    </row>
    <row r="30" spans="1:11" ht="42" customHeight="1">
      <c r="A30" s="167" t="s">
        <v>59</v>
      </c>
      <c r="B30" s="168"/>
      <c r="C30" s="168"/>
      <c r="D30" s="168"/>
      <c r="E30" s="169"/>
      <c r="F30" s="20"/>
      <c r="G30" s="20"/>
      <c r="H30" s="20"/>
      <c r="I30" s="135"/>
      <c r="J30" s="6"/>
      <c r="K30" s="6"/>
    </row>
    <row r="31" spans="1:11" ht="42.6" customHeight="1">
      <c r="A31" s="173" t="s">
        <v>94</v>
      </c>
      <c r="B31" s="199"/>
      <c r="C31" s="199"/>
      <c r="D31" s="199"/>
      <c r="E31" s="7">
        <v>10</v>
      </c>
      <c r="F31" s="12"/>
      <c r="G31" s="12"/>
      <c r="H31" s="12"/>
      <c r="I31" s="134">
        <f t="shared" si="9"/>
        <v>0</v>
      </c>
      <c r="J31" s="6"/>
      <c r="K31" s="6"/>
    </row>
    <row r="32" spans="1:11" ht="42" customHeight="1">
      <c r="A32" s="167" t="s">
        <v>61</v>
      </c>
      <c r="B32" s="168"/>
      <c r="C32" s="168"/>
      <c r="D32" s="168"/>
      <c r="E32" s="169"/>
      <c r="F32" s="20"/>
      <c r="G32" s="20"/>
      <c r="H32" s="20"/>
      <c r="I32" s="135"/>
    </row>
    <row r="33" spans="1:11" ht="63" customHeight="1">
      <c r="A33" s="185" t="s">
        <v>95</v>
      </c>
      <c r="B33" s="184"/>
      <c r="C33" s="184"/>
      <c r="D33" s="184"/>
      <c r="E33" s="7">
        <v>10</v>
      </c>
      <c r="F33" s="12"/>
      <c r="G33" s="12"/>
      <c r="H33" s="12"/>
      <c r="I33" s="134">
        <f t="shared" si="9"/>
        <v>0</v>
      </c>
      <c r="J33" s="6"/>
      <c r="K33" s="6"/>
    </row>
    <row r="34" spans="1:11" ht="42" customHeight="1">
      <c r="A34" s="167" t="s">
        <v>63</v>
      </c>
      <c r="B34" s="168"/>
      <c r="C34" s="168"/>
      <c r="D34" s="168"/>
      <c r="E34" s="169"/>
      <c r="F34" s="20"/>
      <c r="G34" s="20"/>
      <c r="H34" s="20"/>
      <c r="I34" s="135"/>
      <c r="J34" s="6"/>
      <c r="K34" s="6"/>
    </row>
    <row r="35" spans="1:11" ht="43.15" customHeight="1">
      <c r="A35" s="193" t="s">
        <v>96</v>
      </c>
      <c r="B35" s="161"/>
      <c r="C35" s="161"/>
      <c r="D35" s="194"/>
      <c r="E35" s="7">
        <v>10</v>
      </c>
      <c r="F35" s="12"/>
      <c r="G35" s="12"/>
      <c r="H35" s="12"/>
      <c r="I35" s="134">
        <f t="shared" si="9"/>
        <v>0</v>
      </c>
      <c r="J35" s="6"/>
      <c r="K35" s="6"/>
    </row>
    <row r="36" spans="1:11" ht="42" customHeight="1">
      <c r="A36" s="167" t="s">
        <v>65</v>
      </c>
      <c r="B36" s="168"/>
      <c r="C36" s="168"/>
      <c r="D36" s="168"/>
      <c r="E36" s="169"/>
      <c r="F36" s="20"/>
      <c r="G36" s="20"/>
      <c r="H36" s="20"/>
      <c r="I36" s="135"/>
      <c r="J36" s="6"/>
      <c r="K36" s="6"/>
    </row>
    <row r="37" spans="1:11" ht="83.45" customHeight="1">
      <c r="A37" s="186" t="s">
        <v>97</v>
      </c>
      <c r="B37" s="186"/>
      <c r="C37" s="186"/>
      <c r="D37" s="187"/>
      <c r="E37" s="7">
        <v>10</v>
      </c>
      <c r="F37" s="12"/>
      <c r="G37" s="12"/>
      <c r="H37" s="12"/>
      <c r="I37" s="134">
        <f t="shared" si="9"/>
        <v>0</v>
      </c>
      <c r="J37" s="6"/>
      <c r="K37" s="6"/>
    </row>
    <row r="38" spans="1:11" ht="42" customHeight="1">
      <c r="A38" s="167" t="s">
        <v>67</v>
      </c>
      <c r="B38" s="168"/>
      <c r="C38" s="168"/>
      <c r="D38" s="168"/>
      <c r="E38" s="169"/>
      <c r="F38" s="20"/>
      <c r="G38" s="20"/>
      <c r="H38" s="20"/>
      <c r="I38" s="135"/>
      <c r="J38" s="6"/>
      <c r="K38" s="6"/>
    </row>
    <row r="39" spans="1:11" ht="24" customHeight="1">
      <c r="A39" s="156"/>
      <c r="B39" s="156"/>
      <c r="C39" s="156"/>
      <c r="D39" s="156"/>
      <c r="E39" s="156"/>
      <c r="F39" s="156"/>
      <c r="G39" s="156"/>
      <c r="H39" s="156"/>
      <c r="I39" s="157"/>
      <c r="J39" s="6"/>
      <c r="K39" s="6"/>
    </row>
    <row r="40" spans="1:11" ht="39.6" customHeight="1">
      <c r="A40" s="143" t="s">
        <v>56</v>
      </c>
      <c r="B40" s="143"/>
      <c r="C40" s="143"/>
      <c r="D40" s="143"/>
      <c r="E40" s="101" t="s">
        <v>31</v>
      </c>
      <c r="F40" s="200" t="s">
        <v>57</v>
      </c>
      <c r="G40" s="201"/>
      <c r="H40" s="201"/>
      <c r="I40" s="101" t="s">
        <v>33</v>
      </c>
      <c r="J40" s="19"/>
      <c r="K40" s="6"/>
    </row>
    <row r="41" spans="1:11" ht="100.9" customHeight="1">
      <c r="A41" s="161" t="s">
        <v>98</v>
      </c>
      <c r="B41" s="161"/>
      <c r="C41" s="161"/>
      <c r="D41" s="161"/>
      <c r="E41" s="103">
        <v>10</v>
      </c>
      <c r="F41" s="162"/>
      <c r="G41" s="163"/>
      <c r="H41" s="164"/>
      <c r="I41" s="165">
        <f>IF(F41="N/A",10)+SUM(F41)</f>
        <v>0</v>
      </c>
      <c r="J41" s="6"/>
      <c r="K41" s="6"/>
    </row>
    <row r="42" spans="1:11" ht="42" customHeight="1">
      <c r="A42" s="167" t="s">
        <v>99</v>
      </c>
      <c r="B42" s="168"/>
      <c r="C42" s="168"/>
      <c r="D42" s="168"/>
      <c r="E42" s="169"/>
      <c r="F42" s="170"/>
      <c r="G42" s="171"/>
      <c r="H42" s="172"/>
      <c r="I42" s="166"/>
      <c r="J42" s="6"/>
      <c r="K42" s="6"/>
    </row>
    <row r="43" spans="1:11" ht="70.150000000000006" customHeight="1">
      <c r="A43" s="161" t="s">
        <v>100</v>
      </c>
      <c r="B43" s="161"/>
      <c r="C43" s="161"/>
      <c r="D43" s="161"/>
      <c r="E43" s="103">
        <v>10</v>
      </c>
      <c r="F43" s="162"/>
      <c r="G43" s="163"/>
      <c r="H43" s="164"/>
      <c r="I43" s="165">
        <f t="shared" ref="I43" si="10">IF(F43="N/A",10)+SUM(F43)</f>
        <v>0</v>
      </c>
      <c r="J43" s="6"/>
      <c r="K43" s="6"/>
    </row>
    <row r="44" spans="1:11" ht="42" customHeight="1">
      <c r="A44" s="167" t="s">
        <v>101</v>
      </c>
      <c r="B44" s="168"/>
      <c r="C44" s="168"/>
      <c r="D44" s="168"/>
      <c r="E44" s="169"/>
      <c r="F44" s="170"/>
      <c r="G44" s="171"/>
      <c r="H44" s="172"/>
      <c r="I44" s="166"/>
      <c r="J44" s="6"/>
      <c r="K44" s="6"/>
    </row>
    <row r="45" spans="1:11" ht="56.45" customHeight="1">
      <c r="A45" s="161" t="s">
        <v>102</v>
      </c>
      <c r="B45" s="161"/>
      <c r="C45" s="161"/>
      <c r="D45" s="161"/>
      <c r="E45" s="103">
        <v>10</v>
      </c>
      <c r="F45" s="162"/>
      <c r="G45" s="163"/>
      <c r="H45" s="164"/>
      <c r="I45" s="165">
        <f t="shared" ref="I45" si="11">IF(F45="N/A",10)+SUM(F45)</f>
        <v>0</v>
      </c>
      <c r="J45" s="6"/>
      <c r="K45" s="6"/>
    </row>
    <row r="46" spans="1:11" ht="42" customHeight="1">
      <c r="A46" s="167" t="s">
        <v>103</v>
      </c>
      <c r="B46" s="168"/>
      <c r="C46" s="168"/>
      <c r="D46" s="168"/>
      <c r="E46" s="169"/>
      <c r="F46" s="170"/>
      <c r="G46" s="171"/>
      <c r="H46" s="172"/>
      <c r="I46" s="166"/>
      <c r="J46" s="6"/>
      <c r="K46" s="6"/>
    </row>
    <row r="47" spans="1:11" ht="69" customHeight="1">
      <c r="A47" s="173" t="s">
        <v>104</v>
      </c>
      <c r="B47" s="173"/>
      <c r="C47" s="173"/>
      <c r="D47" s="173"/>
      <c r="E47" s="104">
        <v>10</v>
      </c>
      <c r="F47" s="162"/>
      <c r="G47" s="163"/>
      <c r="H47" s="164"/>
      <c r="I47" s="165">
        <f t="shared" ref="I47" si="12">IF(F47="N/A",10)+SUM(F47)</f>
        <v>0</v>
      </c>
      <c r="J47" s="6"/>
      <c r="K47" s="6"/>
    </row>
    <row r="48" spans="1:11" ht="42" customHeight="1">
      <c r="A48" s="167" t="s">
        <v>105</v>
      </c>
      <c r="B48" s="168"/>
      <c r="C48" s="168"/>
      <c r="D48" s="168"/>
      <c r="E48" s="169"/>
      <c r="F48" s="170"/>
      <c r="G48" s="171"/>
      <c r="H48" s="172"/>
      <c r="I48" s="166"/>
      <c r="J48" s="6"/>
      <c r="K48" s="6"/>
    </row>
    <row r="49" spans="1:11" ht="73.900000000000006" customHeight="1">
      <c r="A49" s="161" t="s">
        <v>106</v>
      </c>
      <c r="B49" s="161"/>
      <c r="C49" s="161"/>
      <c r="D49" s="161"/>
      <c r="E49" s="103">
        <v>10</v>
      </c>
      <c r="F49" s="162"/>
      <c r="G49" s="163"/>
      <c r="H49" s="164"/>
      <c r="I49" s="165">
        <f t="shared" ref="I49" si="13">IF(F49="N/A",10)+SUM(F49)</f>
        <v>0</v>
      </c>
      <c r="J49" s="6"/>
      <c r="K49" s="6"/>
    </row>
    <row r="50" spans="1:11" ht="42" customHeight="1">
      <c r="A50" s="167" t="s">
        <v>107</v>
      </c>
      <c r="B50" s="168"/>
      <c r="C50" s="168"/>
      <c r="D50" s="168"/>
      <c r="E50" s="169"/>
      <c r="F50" s="170"/>
      <c r="G50" s="171"/>
      <c r="H50" s="172"/>
      <c r="I50" s="166"/>
      <c r="J50" s="6"/>
      <c r="K50" s="6"/>
    </row>
    <row r="51" spans="1:11" ht="16.899999999999999" customHeight="1">
      <c r="A51" s="202" t="s">
        <v>108</v>
      </c>
      <c r="B51" s="202"/>
      <c r="C51" s="202"/>
      <c r="D51" s="202"/>
      <c r="E51" s="105">
        <f>SUM(E49+E47+E45+E43+E41+E37+E35+E33+E31+E29+E27+E25+E23+E21+E19+E17+E15+E13+E11+E9)</f>
        <v>200</v>
      </c>
      <c r="H51" s="64" t="s">
        <v>69</v>
      </c>
      <c r="I51" s="110">
        <f>SUM(I49+I47+I45+I43+I41+I37+I35+I33+I31+I29+I27+I25+I23+I21+I19+I17+I15+I13+I11+I9)</f>
        <v>0</v>
      </c>
      <c r="J51" s="6"/>
      <c r="K51" s="6"/>
    </row>
    <row r="52" spans="1:11" ht="16.899999999999999" customHeight="1">
      <c r="A52" s="17"/>
      <c r="B52" s="17"/>
      <c r="C52" s="17"/>
      <c r="D52" s="17"/>
      <c r="J52" s="6"/>
      <c r="K52" s="6"/>
    </row>
    <row r="53" spans="1:11" ht="28.15">
      <c r="A53" s="5"/>
      <c r="B53" s="5"/>
      <c r="C53" s="5"/>
      <c r="D53" s="107" t="s">
        <v>70</v>
      </c>
      <c r="E53" s="175"/>
      <c r="F53" s="176"/>
      <c r="G53" s="120"/>
      <c r="H53" s="120"/>
      <c r="I53" s="196" t="s">
        <v>71</v>
      </c>
      <c r="J53" s="30"/>
      <c r="K53" s="6"/>
    </row>
    <row r="54" spans="1:11" ht="18">
      <c r="A54" s="5"/>
      <c r="B54" s="5"/>
      <c r="C54" s="5"/>
      <c r="D54" s="107" t="s">
        <v>72</v>
      </c>
      <c r="E54" s="178"/>
      <c r="F54" s="179"/>
      <c r="G54" s="7"/>
      <c r="H54" s="7"/>
      <c r="I54" s="196"/>
      <c r="J54" s="30"/>
      <c r="K54" s="6"/>
    </row>
    <row r="55" spans="1:11" ht="24" customHeight="1">
      <c r="A55" s="180" t="s">
        <v>73</v>
      </c>
      <c r="B55" s="180"/>
      <c r="C55" s="180"/>
      <c r="D55" s="180"/>
      <c r="E55" s="181" t="s">
        <v>74</v>
      </c>
      <c r="F55" s="182"/>
      <c r="G55" s="182"/>
      <c r="H55" s="183"/>
      <c r="I55" s="196"/>
      <c r="J55" s="6"/>
      <c r="K55" s="6"/>
    </row>
    <row r="56" spans="1:11" ht="31.9" customHeight="1">
      <c r="A56" s="185" t="s">
        <v>109</v>
      </c>
      <c r="B56" s="185"/>
      <c r="C56" s="185"/>
      <c r="D56" s="185"/>
      <c r="E56" s="162"/>
      <c r="F56" s="164"/>
      <c r="G56" s="1"/>
      <c r="H56" s="7"/>
      <c r="I56" s="11"/>
    </row>
    <row r="57" spans="1:11" ht="31.9" customHeight="1">
      <c r="A57" s="185" t="s">
        <v>110</v>
      </c>
      <c r="B57" s="185"/>
      <c r="C57" s="185"/>
      <c r="D57" s="185"/>
      <c r="E57" s="162"/>
      <c r="F57" s="164"/>
      <c r="G57" s="1"/>
      <c r="H57" s="7"/>
      <c r="I57" s="11"/>
    </row>
    <row r="58" spans="1:11" ht="30" customHeight="1">
      <c r="A58" s="185" t="s">
        <v>111</v>
      </c>
      <c r="B58" s="185"/>
      <c r="C58" s="185"/>
      <c r="D58" s="185"/>
      <c r="E58" s="162"/>
      <c r="F58" s="164"/>
      <c r="G58" s="1"/>
      <c r="H58" s="7"/>
      <c r="I58" s="11"/>
    </row>
    <row r="59" spans="1:11" ht="45.6" customHeight="1">
      <c r="A59" s="185" t="s">
        <v>112</v>
      </c>
      <c r="B59" s="185"/>
      <c r="C59" s="185"/>
      <c r="D59" s="185"/>
      <c r="E59" s="162"/>
      <c r="F59" s="164"/>
      <c r="G59" s="1"/>
      <c r="H59" s="1"/>
      <c r="I59" s="11"/>
    </row>
    <row r="60" spans="1:11" ht="17.45" customHeight="1">
      <c r="A60" s="185" t="s">
        <v>113</v>
      </c>
      <c r="B60" s="185"/>
      <c r="C60" s="185"/>
      <c r="D60" s="185"/>
      <c r="E60" s="162"/>
      <c r="F60" s="164"/>
      <c r="G60" s="1"/>
      <c r="H60" s="1"/>
      <c r="I60" s="11"/>
    </row>
    <row r="61" spans="1:11" ht="14.45">
      <c r="A61" s="6"/>
      <c r="B61" s="6"/>
      <c r="C61" s="6"/>
      <c r="D61" s="6"/>
      <c r="E61" s="8"/>
      <c r="F61" s="6"/>
      <c r="G61" s="6"/>
      <c r="H61" s="6"/>
      <c r="I61" s="8"/>
    </row>
    <row r="62" spans="1:11" ht="14.45">
      <c r="A62" s="6"/>
      <c r="B62" s="6"/>
      <c r="C62" s="6"/>
      <c r="D62" s="6"/>
      <c r="E62" s="8"/>
      <c r="F62" s="6"/>
      <c r="G62" s="6"/>
      <c r="H62" s="6"/>
      <c r="I62" s="8"/>
    </row>
    <row r="63" spans="1:11" ht="14.45">
      <c r="A63" s="6"/>
      <c r="B63" s="6"/>
      <c r="C63" s="6"/>
      <c r="D63" s="6"/>
      <c r="E63" s="8"/>
      <c r="F63" s="6"/>
      <c r="G63" s="6"/>
      <c r="H63" s="6"/>
      <c r="I63" s="8"/>
    </row>
    <row r="64" spans="1:11" ht="14.45">
      <c r="A64" s="6"/>
      <c r="B64" s="6"/>
      <c r="C64" s="6"/>
      <c r="D64" s="6"/>
      <c r="E64" s="8"/>
      <c r="F64" s="6"/>
      <c r="G64" s="6"/>
      <c r="H64" s="6"/>
      <c r="I64" s="8"/>
    </row>
  </sheetData>
  <sheetProtection algorithmName="SHA-512" hashValue="VZ5ecAUZxg4EvPEE+F7P6i+bzwSDXBArs0sVT9s5NOqYcjkF0P4FQXXedqAkKEhNPUBPNMAYlnhmHMO9fLLKSw==" saltValue="0JbozwIRPHMwB1osNu9RWQ==" spinCount="100000" sheet="1" objects="1" scenarios="1"/>
  <protectedRanges>
    <protectedRange sqref="B1" name="Range7"/>
    <protectedRange sqref="F4:H7" name="Range5"/>
    <protectedRange sqref="F9:H38" name="Range4"/>
    <protectedRange sqref="F41:H50" name="Range3"/>
    <protectedRange sqref="E53:H54" name="Range2"/>
    <protectedRange sqref="E56:I60" name="Range1"/>
    <protectedRange sqref="H1" name="Range6"/>
  </protectedRanges>
  <mergeCells count="93">
    <mergeCell ref="E60:F60"/>
    <mergeCell ref="B1:E1"/>
    <mergeCell ref="A51:D51"/>
    <mergeCell ref="E54:F54"/>
    <mergeCell ref="E55:H55"/>
    <mergeCell ref="E53:F53"/>
    <mergeCell ref="F48:H48"/>
    <mergeCell ref="F49:H49"/>
    <mergeCell ref="F50:H50"/>
    <mergeCell ref="F45:H45"/>
    <mergeCell ref="F46:H46"/>
    <mergeCell ref="F47:H47"/>
    <mergeCell ref="F42:H42"/>
    <mergeCell ref="F43:H43"/>
    <mergeCell ref="F44:H44"/>
    <mergeCell ref="A38:E38"/>
    <mergeCell ref="I49:I50"/>
    <mergeCell ref="I47:I48"/>
    <mergeCell ref="I35:I36"/>
    <mergeCell ref="I37:I38"/>
    <mergeCell ref="I41:I42"/>
    <mergeCell ref="I43:I44"/>
    <mergeCell ref="I45:I46"/>
    <mergeCell ref="I9:I10"/>
    <mergeCell ref="I11:I12"/>
    <mergeCell ref="I13:I14"/>
    <mergeCell ref="I15:I16"/>
    <mergeCell ref="I17:I18"/>
    <mergeCell ref="I19:I20"/>
    <mergeCell ref="I21:I22"/>
    <mergeCell ref="I23:I24"/>
    <mergeCell ref="I25:I26"/>
    <mergeCell ref="I27:I28"/>
    <mergeCell ref="A32:E32"/>
    <mergeCell ref="A30:E30"/>
    <mergeCell ref="A42:E42"/>
    <mergeCell ref="I29:I30"/>
    <mergeCell ref="I31:I32"/>
    <mergeCell ref="I33:I34"/>
    <mergeCell ref="F40:H40"/>
    <mergeCell ref="F41:H41"/>
    <mergeCell ref="A44:E44"/>
    <mergeCell ref="A43:D43"/>
    <mergeCell ref="A35:D35"/>
    <mergeCell ref="A37:D37"/>
    <mergeCell ref="A33:D33"/>
    <mergeCell ref="A36:E36"/>
    <mergeCell ref="A34:E34"/>
    <mergeCell ref="A4:D7"/>
    <mergeCell ref="A39:I39"/>
    <mergeCell ref="A56:D56"/>
    <mergeCell ref="I53:I55"/>
    <mergeCell ref="E56:F56"/>
    <mergeCell ref="A27:D27"/>
    <mergeCell ref="A29:D29"/>
    <mergeCell ref="A31:D31"/>
    <mergeCell ref="A28:E28"/>
    <mergeCell ref="A26:E26"/>
    <mergeCell ref="A24:E24"/>
    <mergeCell ref="A22:E22"/>
    <mergeCell ref="A20:E20"/>
    <mergeCell ref="A18:E18"/>
    <mergeCell ref="A25:D25"/>
    <mergeCell ref="A23:D23"/>
    <mergeCell ref="A21:D21"/>
    <mergeCell ref="A17:D17"/>
    <mergeCell ref="A13:D13"/>
    <mergeCell ref="A15:D15"/>
    <mergeCell ref="A19:D19"/>
    <mergeCell ref="A16:E16"/>
    <mergeCell ref="A14:E14"/>
    <mergeCell ref="A12:E12"/>
    <mergeCell ref="A10:E10"/>
    <mergeCell ref="A9:D9"/>
    <mergeCell ref="F8:H8"/>
    <mergeCell ref="A8:D8"/>
    <mergeCell ref="A11:D11"/>
    <mergeCell ref="A57:D57"/>
    <mergeCell ref="A58:D58"/>
    <mergeCell ref="A60:D60"/>
    <mergeCell ref="A59:D59"/>
    <mergeCell ref="A40:D40"/>
    <mergeCell ref="A49:D49"/>
    <mergeCell ref="A41:D41"/>
    <mergeCell ref="A46:E46"/>
    <mergeCell ref="A48:E48"/>
    <mergeCell ref="A50:E50"/>
    <mergeCell ref="A55:D55"/>
    <mergeCell ref="A45:D45"/>
    <mergeCell ref="A47:D47"/>
    <mergeCell ref="E57:F57"/>
    <mergeCell ref="E58:F58"/>
    <mergeCell ref="E59:F59"/>
  </mergeCells>
  <conditionalFormatting sqref="I56:I60">
    <cfRule type="containsText" dxfId="15" priority="1" operator="containsText" text="Yes">
      <formula>NOT(ISERROR(SEARCH("Yes",I56)))</formula>
    </cfRule>
  </conditionalFormatting>
  <printOptions horizontalCentered="1"/>
  <pageMargins left="0.25" right="0.25" top="0.5" bottom="0.3" header="0.25" footer="0.2"/>
  <pageSetup scale="83" fitToHeight="0" orientation="landscape" r:id="rId1"/>
  <headerFooter differentFirst="1">
    <oddFooter>Page &amp;P of &amp;N</oddFooter>
  </headerFooter>
  <extLst>
    <ext xmlns:x14="http://schemas.microsoft.com/office/spreadsheetml/2009/9/main" uri="{CCE6A557-97BC-4b89-ADB6-D9C93CAAB3DF}">
      <x14:dataValidations xmlns:xm="http://schemas.microsoft.com/office/excel/2006/main" count="6">
        <x14:dataValidation type="list" allowBlank="1" showInputMessage="1" showErrorMessage="1" xr:uid="{D03D0A05-FE8B-48AF-91CE-AB85FDA47753}">
          <x14:formula1>
            <xm:f>Data!$E$2:$E$5</xm:f>
          </x14:formula1>
          <xm:sqref>F11 F9 F13 F15 F17 F19 F21 F23 F25 F27 F29 F31 F33 F35 F37</xm:sqref>
        </x14:dataValidation>
        <x14:dataValidation type="list" allowBlank="1" showInputMessage="1" showErrorMessage="1" xr:uid="{21686264-C7E7-4A08-A967-85B3FCC92C12}">
          <x14:formula1>
            <xm:f>Data!$G$2:$G$5</xm:f>
          </x14:formula1>
          <xm:sqref>G11:H11 G9:H9 G13:H13 G37:H37 G35:H35 G33:H33 G31:H31 G29:H29 G27:H27 G25:H25 G23:H23 G21:H21 G19:H19 G17:H17 G15:H15</xm:sqref>
        </x14:dataValidation>
        <x14:dataValidation type="list" allowBlank="1" showInputMessage="1" showErrorMessage="1" xr:uid="{4C65D772-6A3F-43D1-9794-61FF0672BE17}">
          <x14:formula1>
            <xm:f>Data!$I$2:$I$5</xm:f>
          </x14:formula1>
          <xm:sqref>F49:H49 F41:H41 F43:H43 F45:H45 F47:H47</xm:sqref>
        </x14:dataValidation>
        <x14:dataValidation type="list" allowBlank="1" showInputMessage="1" showErrorMessage="1" xr:uid="{8423BF74-5656-4C15-A08B-FDDD4A9A1F72}">
          <x14:formula1>
            <xm:f>Data!$K$2:$K$4</xm:f>
          </x14:formula1>
          <xm:sqref>I56:I60</xm:sqref>
        </x14:dataValidation>
        <x14:dataValidation type="list" allowBlank="1" showInputMessage="1" showErrorMessage="1" xr:uid="{211D4552-AEE8-4222-9FAA-D07AA69B1739}">
          <x14:formula1>
            <xm:f>Data!$A$2:$A$9</xm:f>
          </x14:formula1>
          <xm:sqref>F7:H7</xm:sqref>
        </x14:dataValidation>
        <x14:dataValidation type="list" allowBlank="1" showInputMessage="1" showErrorMessage="1" xr:uid="{6AF0703C-11FD-47FB-807D-3296E0BEA830}">
          <x14:formula1>
            <xm:f>Data!$C$2:$C$9</xm:f>
          </x14:formula1>
          <xm:sqref>F6:H6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47E4D-BC78-42C7-AF37-29251E6AB282}">
  <sheetPr>
    <pageSetUpPr fitToPage="1"/>
  </sheetPr>
  <dimension ref="A1:M65"/>
  <sheetViews>
    <sheetView zoomScaleNormal="100" workbookViewId="0">
      <selection activeCell="G9" sqref="G9"/>
    </sheetView>
  </sheetViews>
  <sheetFormatPr defaultColWidth="9.140625" defaultRowHeight="13.9"/>
  <cols>
    <col min="1" max="1" width="5.85546875" style="2" customWidth="1"/>
    <col min="2" max="3" width="10.7109375" style="2" customWidth="1"/>
    <col min="4" max="4" width="19.7109375" style="2" customWidth="1"/>
    <col min="5" max="5" width="9.7109375" style="4" customWidth="1"/>
    <col min="6" max="6" width="30.7109375" style="2" customWidth="1"/>
    <col min="7" max="7" width="37.42578125" style="2" customWidth="1"/>
    <col min="8" max="8" width="34.140625" style="2" customWidth="1"/>
    <col min="9" max="9" width="10.85546875" style="4" customWidth="1"/>
    <col min="10" max="16384" width="9.140625" style="2"/>
  </cols>
  <sheetData>
    <row r="1" spans="1:13" ht="14.45">
      <c r="A1" s="60" t="s">
        <v>19</v>
      </c>
      <c r="B1" s="203"/>
      <c r="C1" s="203"/>
      <c r="D1" s="203"/>
      <c r="E1" s="203"/>
      <c r="G1" s="17" t="s">
        <v>20</v>
      </c>
      <c r="H1" s="3" t="s">
        <v>114</v>
      </c>
    </row>
    <row r="2" spans="1:13">
      <c r="A2" s="60"/>
      <c r="B2" s="60"/>
      <c r="C2" s="60"/>
      <c r="D2" s="60"/>
      <c r="E2" s="61"/>
    </row>
    <row r="3" spans="1:13" ht="9.9499999999999993" customHeight="1">
      <c r="A3" s="62"/>
      <c r="B3" s="62"/>
      <c r="C3" s="62"/>
      <c r="D3" s="62"/>
      <c r="E3" s="57"/>
      <c r="F3" s="5"/>
      <c r="G3" s="5"/>
      <c r="H3" s="5"/>
      <c r="I3" s="5"/>
      <c r="J3" s="5"/>
    </row>
    <row r="4" spans="1:13" ht="30.6" customHeight="1">
      <c r="A4" s="195" t="s">
        <v>115</v>
      </c>
      <c r="B4" s="195"/>
      <c r="C4" s="195"/>
      <c r="D4" s="195"/>
      <c r="E4" s="97" t="s">
        <v>22</v>
      </c>
      <c r="F4" s="98" t="s">
        <v>116</v>
      </c>
      <c r="G4" s="117" t="s">
        <v>117</v>
      </c>
      <c r="H4" s="99" t="s">
        <v>118</v>
      </c>
      <c r="J4" s="30"/>
    </row>
    <row r="5" spans="1:13" ht="14.45" customHeight="1">
      <c r="A5" s="195"/>
      <c r="B5" s="195"/>
      <c r="C5" s="195"/>
      <c r="D5" s="195"/>
      <c r="E5" s="98" t="s">
        <v>24</v>
      </c>
      <c r="F5" s="118" t="s">
        <v>119</v>
      </c>
      <c r="G5" s="119" t="s">
        <v>120</v>
      </c>
      <c r="H5" s="103" t="s">
        <v>121</v>
      </c>
      <c r="J5" s="30"/>
    </row>
    <row r="6" spans="1:13" s="9" customFormat="1" ht="31.15" customHeight="1">
      <c r="A6" s="195"/>
      <c r="B6" s="195"/>
      <c r="C6" s="195"/>
      <c r="D6" s="195"/>
      <c r="E6" s="99" t="s">
        <v>25</v>
      </c>
      <c r="F6" s="11" t="s">
        <v>122</v>
      </c>
      <c r="G6" s="11" t="s">
        <v>122</v>
      </c>
      <c r="H6" s="11" t="s">
        <v>27</v>
      </c>
      <c r="I6" s="10"/>
    </row>
    <row r="7" spans="1:13" s="9" customFormat="1" ht="30" customHeight="1">
      <c r="A7" s="195"/>
      <c r="B7" s="195"/>
      <c r="C7" s="195"/>
      <c r="D7" s="195"/>
      <c r="E7" s="100" t="s">
        <v>123</v>
      </c>
      <c r="F7" s="7" t="s">
        <v>124</v>
      </c>
      <c r="G7" s="7" t="s">
        <v>125</v>
      </c>
      <c r="H7" s="7" t="s">
        <v>27</v>
      </c>
      <c r="I7" s="10"/>
    </row>
    <row r="8" spans="1:13" s="14" customFormat="1" ht="44.45" customHeight="1">
      <c r="A8" s="188" t="s">
        <v>126</v>
      </c>
      <c r="B8" s="188"/>
      <c r="C8" s="188"/>
      <c r="D8" s="188"/>
      <c r="E8" s="101" t="s">
        <v>31</v>
      </c>
      <c r="F8" s="143" t="s">
        <v>127</v>
      </c>
      <c r="G8" s="143"/>
      <c r="H8" s="143"/>
      <c r="I8" s="101" t="s">
        <v>33</v>
      </c>
      <c r="J8" s="13"/>
      <c r="K8" s="13"/>
    </row>
    <row r="9" spans="1:13" ht="56.45" customHeight="1">
      <c r="A9" s="186" t="s">
        <v>128</v>
      </c>
      <c r="B9" s="186"/>
      <c r="C9" s="186"/>
      <c r="D9" s="187"/>
      <c r="E9" s="7">
        <v>10</v>
      </c>
      <c r="F9" s="18" t="s">
        <v>129</v>
      </c>
      <c r="G9" s="18" t="s">
        <v>130</v>
      </c>
      <c r="H9" s="18" t="s">
        <v>130</v>
      </c>
      <c r="I9" s="134">
        <f>IF(F9="N/A",4)+IF(G9="N/A",3)+IF(H9="N/A",3)+SUM(F9:H9)</f>
        <v>0</v>
      </c>
      <c r="J9" s="30"/>
      <c r="K9" s="15"/>
      <c r="L9" s="15"/>
      <c r="M9" s="15"/>
    </row>
    <row r="10" spans="1:13" ht="42" customHeight="1">
      <c r="A10" s="167" t="s">
        <v>36</v>
      </c>
      <c r="B10" s="168"/>
      <c r="C10" s="168"/>
      <c r="D10" s="168"/>
      <c r="E10" s="169"/>
      <c r="F10" s="20" t="s">
        <v>131</v>
      </c>
      <c r="G10" s="20" t="s">
        <v>132</v>
      </c>
      <c r="H10" s="20"/>
      <c r="I10" s="135"/>
      <c r="J10" s="6"/>
      <c r="K10" s="15"/>
      <c r="L10" s="15"/>
      <c r="M10" s="15"/>
    </row>
    <row r="11" spans="1:13" ht="28.9" customHeight="1">
      <c r="A11" s="189" t="s">
        <v>133</v>
      </c>
      <c r="B11" s="189"/>
      <c r="C11" s="189"/>
      <c r="D11" s="190"/>
      <c r="E11" s="102">
        <v>10</v>
      </c>
      <c r="F11" s="18" t="s">
        <v>134</v>
      </c>
      <c r="G11" s="18" t="s">
        <v>130</v>
      </c>
      <c r="H11" s="18" t="s">
        <v>130</v>
      </c>
      <c r="I11" s="134">
        <f t="shared" ref="I11" si="0">IF(F11="N/A",4)+IF(G11="N/A",3)+IF(H11="N/A",3)+SUM(F11:H11)</f>
        <v>0</v>
      </c>
      <c r="J11" s="6"/>
      <c r="K11" s="15"/>
      <c r="L11" s="15"/>
      <c r="M11" s="15"/>
    </row>
    <row r="12" spans="1:13" ht="42" customHeight="1">
      <c r="A12" s="167" t="s">
        <v>39</v>
      </c>
      <c r="B12" s="168"/>
      <c r="C12" s="168"/>
      <c r="D12" s="168"/>
      <c r="E12" s="169"/>
      <c r="F12" s="20"/>
      <c r="G12" s="20"/>
      <c r="H12" s="20"/>
      <c r="I12" s="135"/>
      <c r="J12" s="6"/>
      <c r="K12" s="15"/>
      <c r="L12" s="15"/>
      <c r="M12" s="15"/>
    </row>
    <row r="13" spans="1:13" ht="68.45" customHeight="1">
      <c r="A13" s="187" t="s">
        <v>135</v>
      </c>
      <c r="B13" s="191"/>
      <c r="C13" s="191"/>
      <c r="D13" s="192"/>
      <c r="E13" s="102">
        <v>10</v>
      </c>
      <c r="F13" s="18" t="s">
        <v>134</v>
      </c>
      <c r="G13" s="12" t="s">
        <v>130</v>
      </c>
      <c r="H13" s="12" t="s">
        <v>130</v>
      </c>
      <c r="I13" s="134">
        <f t="shared" ref="I13" si="1">IF(F13="N/A",4)+IF(G13="N/A",3)+IF(H13="N/A",3)+SUM(F13:H13)</f>
        <v>0</v>
      </c>
      <c r="J13" s="6"/>
      <c r="K13" s="15"/>
      <c r="L13" s="15"/>
      <c r="M13" s="15"/>
    </row>
    <row r="14" spans="1:13" ht="42" customHeight="1">
      <c r="A14" s="167" t="s">
        <v>41</v>
      </c>
      <c r="B14" s="168"/>
      <c r="C14" s="168"/>
      <c r="D14" s="168"/>
      <c r="E14" s="169"/>
      <c r="F14" s="20" t="s">
        <v>136</v>
      </c>
      <c r="G14" s="20" t="s">
        <v>137</v>
      </c>
      <c r="H14" s="20"/>
      <c r="I14" s="135"/>
      <c r="J14" s="6"/>
      <c r="K14" s="15"/>
      <c r="L14" s="15"/>
      <c r="M14" s="15"/>
    </row>
    <row r="15" spans="1:13" ht="43.9" customHeight="1">
      <c r="A15" s="187" t="s">
        <v>138</v>
      </c>
      <c r="B15" s="191"/>
      <c r="C15" s="191"/>
      <c r="D15" s="192"/>
      <c r="E15" s="102">
        <v>10</v>
      </c>
      <c r="F15" s="12" t="s">
        <v>134</v>
      </c>
      <c r="G15" s="12" t="s">
        <v>130</v>
      </c>
      <c r="H15" s="12" t="s">
        <v>130</v>
      </c>
      <c r="I15" s="134">
        <f t="shared" ref="I15" si="2">IF(F15="N/A",4)+IF(G15="N/A",3)+IF(H15="N/A",3)+SUM(F15:H15)</f>
        <v>0</v>
      </c>
      <c r="J15" s="6"/>
      <c r="K15" s="6"/>
    </row>
    <row r="16" spans="1:13" ht="42" customHeight="1">
      <c r="A16" s="167" t="s">
        <v>43</v>
      </c>
      <c r="B16" s="168"/>
      <c r="C16" s="168"/>
      <c r="D16" s="168"/>
      <c r="E16" s="169"/>
      <c r="F16" s="20"/>
      <c r="G16" s="20"/>
      <c r="H16" s="20"/>
      <c r="I16" s="135"/>
      <c r="J16" s="6"/>
      <c r="K16" s="6"/>
    </row>
    <row r="17" spans="1:11" ht="82.9" customHeight="1">
      <c r="A17" s="207" t="s">
        <v>139</v>
      </c>
      <c r="B17" s="191"/>
      <c r="C17" s="191"/>
      <c r="D17" s="192"/>
      <c r="E17" s="102">
        <v>10</v>
      </c>
      <c r="F17" s="12" t="s">
        <v>35</v>
      </c>
      <c r="G17" s="12" t="s">
        <v>130</v>
      </c>
      <c r="H17" s="12" t="s">
        <v>35</v>
      </c>
      <c r="I17" s="134">
        <f t="shared" ref="I17" si="3">IF(F17="N/A",4)+IF(G17="N/A",3)+IF(H17="N/A",3)+SUM(F17:H17)</f>
        <v>7</v>
      </c>
      <c r="J17" s="6"/>
      <c r="K17" s="6"/>
    </row>
    <row r="18" spans="1:11" ht="42" customHeight="1">
      <c r="A18" s="167" t="s">
        <v>45</v>
      </c>
      <c r="B18" s="168"/>
      <c r="C18" s="168"/>
      <c r="D18" s="168"/>
      <c r="E18" s="169"/>
      <c r="F18" s="20"/>
      <c r="G18" s="20" t="s">
        <v>140</v>
      </c>
      <c r="H18" s="20"/>
      <c r="I18" s="135"/>
      <c r="J18" s="6"/>
      <c r="K18" s="6"/>
    </row>
    <row r="19" spans="1:11" ht="24.6" customHeight="1">
      <c r="A19" s="208" t="s">
        <v>141</v>
      </c>
      <c r="B19" s="209"/>
      <c r="C19" s="209"/>
      <c r="D19" s="209"/>
      <c r="E19" s="209"/>
      <c r="F19" s="209"/>
      <c r="G19" s="209"/>
      <c r="H19" s="209"/>
      <c r="I19" s="210"/>
      <c r="J19" s="6"/>
      <c r="K19" s="6"/>
    </row>
    <row r="20" spans="1:11" ht="57.6" customHeight="1">
      <c r="A20" s="173" t="s">
        <v>142</v>
      </c>
      <c r="B20" s="173"/>
      <c r="C20" s="173"/>
      <c r="D20" s="173"/>
      <c r="E20" s="102">
        <v>10</v>
      </c>
      <c r="F20" s="204"/>
      <c r="G20" s="205"/>
      <c r="H20" s="206"/>
      <c r="I20" s="134">
        <f>IF(F20="N/A",10)+SUM(F20)</f>
        <v>0</v>
      </c>
      <c r="J20" s="6"/>
      <c r="K20" s="6"/>
    </row>
    <row r="21" spans="1:11" ht="42" customHeight="1">
      <c r="A21" s="167" t="s">
        <v>47</v>
      </c>
      <c r="B21" s="168"/>
      <c r="C21" s="168"/>
      <c r="D21" s="168"/>
      <c r="E21" s="169"/>
      <c r="F21" s="170"/>
      <c r="G21" s="171"/>
      <c r="H21" s="172"/>
      <c r="I21" s="135"/>
      <c r="J21" s="6"/>
      <c r="K21" s="6"/>
    </row>
    <row r="22" spans="1:11" ht="55.15" customHeight="1">
      <c r="A22" s="207" t="s">
        <v>143</v>
      </c>
      <c r="B22" s="191"/>
      <c r="C22" s="191"/>
      <c r="D22" s="192"/>
      <c r="E22" s="102">
        <v>10</v>
      </c>
      <c r="F22" s="204"/>
      <c r="G22" s="205"/>
      <c r="H22" s="206"/>
      <c r="I22" s="134">
        <f t="shared" ref="I22" si="4">IF(F22="N/A",10)+SUM(F22)</f>
        <v>0</v>
      </c>
      <c r="J22" s="6"/>
      <c r="K22" s="6"/>
    </row>
    <row r="23" spans="1:11" ht="42" customHeight="1">
      <c r="A23" s="167" t="s">
        <v>49</v>
      </c>
      <c r="B23" s="168"/>
      <c r="C23" s="168"/>
      <c r="D23" s="168"/>
      <c r="E23" s="169"/>
      <c r="F23" s="170"/>
      <c r="G23" s="171"/>
      <c r="H23" s="172"/>
      <c r="I23" s="135"/>
      <c r="J23" s="6"/>
      <c r="K23" s="6"/>
    </row>
    <row r="24" spans="1:11" ht="28.9" customHeight="1">
      <c r="A24" s="173" t="s">
        <v>144</v>
      </c>
      <c r="B24" s="173"/>
      <c r="C24" s="173"/>
      <c r="D24" s="173"/>
      <c r="E24" s="7">
        <v>10</v>
      </c>
      <c r="F24" s="204"/>
      <c r="G24" s="205"/>
      <c r="H24" s="206"/>
      <c r="I24" s="134">
        <f t="shared" ref="I24" si="5">IF(F24="N/A",10)+SUM(F24)</f>
        <v>0</v>
      </c>
      <c r="J24" s="6"/>
      <c r="K24" s="6"/>
    </row>
    <row r="25" spans="1:11" ht="42" customHeight="1">
      <c r="A25" s="167" t="s">
        <v>51</v>
      </c>
      <c r="B25" s="168"/>
      <c r="C25" s="168"/>
      <c r="D25" s="168"/>
      <c r="E25" s="169"/>
      <c r="F25" s="170"/>
      <c r="G25" s="171"/>
      <c r="H25" s="172"/>
      <c r="I25" s="135"/>
      <c r="J25" s="6"/>
      <c r="K25" s="6"/>
    </row>
    <row r="26" spans="1:11" ht="31.15" customHeight="1">
      <c r="A26" s="173" t="s">
        <v>145</v>
      </c>
      <c r="B26" s="173"/>
      <c r="C26" s="173"/>
      <c r="D26" s="173"/>
      <c r="E26" s="7">
        <v>10</v>
      </c>
      <c r="F26" s="204"/>
      <c r="G26" s="205"/>
      <c r="H26" s="206"/>
      <c r="I26" s="134">
        <f t="shared" ref="I26" si="6">IF(F26="N/A",10)+SUM(F26)</f>
        <v>0</v>
      </c>
      <c r="J26" s="6"/>
      <c r="K26" s="6"/>
    </row>
    <row r="27" spans="1:11" ht="42.6" customHeight="1">
      <c r="A27" s="167" t="s">
        <v>53</v>
      </c>
      <c r="B27" s="168"/>
      <c r="C27" s="168"/>
      <c r="D27" s="168"/>
      <c r="E27" s="169"/>
      <c r="F27" s="170"/>
      <c r="G27" s="171"/>
      <c r="H27" s="172"/>
      <c r="I27" s="135"/>
      <c r="J27" s="6"/>
      <c r="K27" s="6"/>
    </row>
    <row r="28" spans="1:11" ht="24" customHeight="1">
      <c r="A28" s="156"/>
      <c r="B28" s="156"/>
      <c r="C28" s="156"/>
      <c r="D28" s="156"/>
      <c r="E28" s="156"/>
      <c r="F28" s="156"/>
      <c r="G28" s="156"/>
      <c r="H28" s="156"/>
      <c r="I28" s="157"/>
      <c r="J28" s="6"/>
      <c r="K28" s="6"/>
    </row>
    <row r="29" spans="1:11" ht="39.6" customHeight="1">
      <c r="A29" s="143" t="s">
        <v>146</v>
      </c>
      <c r="B29" s="143"/>
      <c r="C29" s="143"/>
      <c r="D29" s="143"/>
      <c r="E29" s="101" t="s">
        <v>31</v>
      </c>
      <c r="F29" s="200" t="s">
        <v>57</v>
      </c>
      <c r="G29" s="201"/>
      <c r="H29" s="201"/>
      <c r="I29" s="101" t="s">
        <v>33</v>
      </c>
      <c r="J29" s="19"/>
      <c r="K29" s="6"/>
    </row>
    <row r="30" spans="1:11" ht="77.25" customHeight="1">
      <c r="A30" s="160" t="s">
        <v>147</v>
      </c>
      <c r="B30" s="161"/>
      <c r="C30" s="161"/>
      <c r="D30" s="161"/>
      <c r="E30" s="103">
        <v>10</v>
      </c>
      <c r="F30" s="178"/>
      <c r="G30" s="211"/>
      <c r="H30" s="179"/>
      <c r="I30" s="165">
        <f>IF(F30="N/A",10)+SUM(F30)</f>
        <v>0</v>
      </c>
      <c r="J30" s="6"/>
      <c r="K30" s="6"/>
    </row>
    <row r="31" spans="1:11" ht="42" customHeight="1">
      <c r="A31" s="167" t="s">
        <v>55</v>
      </c>
      <c r="B31" s="168"/>
      <c r="C31" s="168"/>
      <c r="D31" s="168"/>
      <c r="E31" s="169"/>
      <c r="F31" s="170"/>
      <c r="G31" s="171"/>
      <c r="H31" s="172"/>
      <c r="I31" s="166"/>
      <c r="J31" s="6"/>
      <c r="K31" s="6"/>
    </row>
    <row r="32" spans="1:11" ht="43.9" customHeight="1">
      <c r="A32" s="160" t="s">
        <v>148</v>
      </c>
      <c r="B32" s="161"/>
      <c r="C32" s="161"/>
      <c r="D32" s="161"/>
      <c r="E32" s="103">
        <v>10</v>
      </c>
      <c r="F32" s="178"/>
      <c r="G32" s="211"/>
      <c r="H32" s="179"/>
      <c r="I32" s="165">
        <f t="shared" ref="I32" si="7">IF(F32="N/A",10)+SUM(F32)</f>
        <v>0</v>
      </c>
      <c r="J32" s="6"/>
      <c r="K32" s="6"/>
    </row>
    <row r="33" spans="1:11" ht="42" customHeight="1">
      <c r="A33" s="167" t="s">
        <v>59</v>
      </c>
      <c r="B33" s="168"/>
      <c r="C33" s="168"/>
      <c r="D33" s="168"/>
      <c r="E33" s="169"/>
      <c r="F33" s="170"/>
      <c r="G33" s="171"/>
      <c r="H33" s="172"/>
      <c r="I33" s="166"/>
      <c r="J33" s="6"/>
      <c r="K33" s="6"/>
    </row>
    <row r="34" spans="1:11" ht="57.6" customHeight="1">
      <c r="A34" s="161" t="s">
        <v>149</v>
      </c>
      <c r="B34" s="161"/>
      <c r="C34" s="161"/>
      <c r="D34" s="161"/>
      <c r="E34" s="103">
        <v>10</v>
      </c>
      <c r="F34" s="178"/>
      <c r="G34" s="211"/>
      <c r="H34" s="179"/>
      <c r="I34" s="165">
        <f t="shared" ref="I34" si="8">IF(F34="N/A",10)+SUM(F34)</f>
        <v>0</v>
      </c>
      <c r="J34" s="6"/>
      <c r="K34" s="6"/>
    </row>
    <row r="35" spans="1:11" ht="42" customHeight="1">
      <c r="A35" s="167" t="s">
        <v>61</v>
      </c>
      <c r="B35" s="168"/>
      <c r="C35" s="168"/>
      <c r="D35" s="168"/>
      <c r="E35" s="169"/>
      <c r="F35" s="170"/>
      <c r="G35" s="171"/>
      <c r="H35" s="172"/>
      <c r="I35" s="166"/>
      <c r="J35" s="6"/>
      <c r="K35" s="6"/>
    </row>
    <row r="36" spans="1:11" ht="54" customHeight="1">
      <c r="A36" s="173" t="s">
        <v>150</v>
      </c>
      <c r="B36" s="173"/>
      <c r="C36" s="173"/>
      <c r="D36" s="173"/>
      <c r="E36" s="104">
        <v>10</v>
      </c>
      <c r="F36" s="178"/>
      <c r="G36" s="211"/>
      <c r="H36" s="179"/>
      <c r="I36" s="165">
        <f t="shared" ref="I36" si="9">IF(F36="N/A",10)+SUM(F36)</f>
        <v>0</v>
      </c>
      <c r="J36" s="6"/>
      <c r="K36" s="6"/>
    </row>
    <row r="37" spans="1:11" ht="42" customHeight="1">
      <c r="A37" s="167" t="s">
        <v>63</v>
      </c>
      <c r="B37" s="168"/>
      <c r="C37" s="168"/>
      <c r="D37" s="168"/>
      <c r="E37" s="169"/>
      <c r="F37" s="170"/>
      <c r="G37" s="171"/>
      <c r="H37" s="172"/>
      <c r="I37" s="166"/>
      <c r="J37" s="6"/>
      <c r="K37" s="6"/>
    </row>
    <row r="38" spans="1:11" ht="56.45" customHeight="1">
      <c r="A38" s="160" t="s">
        <v>151</v>
      </c>
      <c r="B38" s="161"/>
      <c r="C38" s="161"/>
      <c r="D38" s="161"/>
      <c r="E38" s="103">
        <v>10</v>
      </c>
      <c r="F38" s="178"/>
      <c r="G38" s="211"/>
      <c r="H38" s="179"/>
      <c r="I38" s="165">
        <f t="shared" ref="I38" si="10">IF(F38="N/A",10)+SUM(F38)</f>
        <v>0</v>
      </c>
      <c r="J38" s="6"/>
      <c r="K38" s="6"/>
    </row>
    <row r="39" spans="1:11" ht="42" customHeight="1">
      <c r="A39" s="167" t="s">
        <v>65</v>
      </c>
      <c r="B39" s="168"/>
      <c r="C39" s="168"/>
      <c r="D39" s="168"/>
      <c r="E39" s="169"/>
      <c r="F39" s="170"/>
      <c r="G39" s="171"/>
      <c r="H39" s="172"/>
      <c r="I39" s="166"/>
      <c r="J39" s="6"/>
      <c r="K39" s="6"/>
    </row>
    <row r="40" spans="1:11" ht="28.15" customHeight="1">
      <c r="A40" s="160" t="s">
        <v>152</v>
      </c>
      <c r="B40" s="161"/>
      <c r="C40" s="161"/>
      <c r="D40" s="161"/>
      <c r="E40" s="103">
        <v>10</v>
      </c>
      <c r="F40" s="178"/>
      <c r="G40" s="211"/>
      <c r="H40" s="179"/>
      <c r="I40" s="165">
        <f t="shared" ref="I40" si="11">IF(F40="N/A",10)+SUM(F40)</f>
        <v>0</v>
      </c>
      <c r="J40" s="6"/>
      <c r="K40" s="6"/>
    </row>
    <row r="41" spans="1:11" ht="42" customHeight="1">
      <c r="A41" s="167" t="s">
        <v>67</v>
      </c>
      <c r="B41" s="168"/>
      <c r="C41" s="168"/>
      <c r="D41" s="168"/>
      <c r="E41" s="169"/>
      <c r="F41" s="170"/>
      <c r="G41" s="171"/>
      <c r="H41" s="172"/>
      <c r="I41" s="166"/>
      <c r="J41" s="6"/>
      <c r="K41" s="6"/>
    </row>
    <row r="42" spans="1:11" ht="28.9" customHeight="1">
      <c r="A42" s="160" t="s">
        <v>153</v>
      </c>
      <c r="B42" s="161"/>
      <c r="C42" s="161"/>
      <c r="D42" s="161"/>
      <c r="E42" s="103">
        <v>10</v>
      </c>
      <c r="F42" s="178"/>
      <c r="G42" s="211"/>
      <c r="H42" s="179"/>
      <c r="I42" s="165">
        <f t="shared" ref="I42" si="12">IF(F42="N/A",10)+SUM(F42)</f>
        <v>0</v>
      </c>
      <c r="J42" s="6"/>
      <c r="K42" s="6"/>
    </row>
    <row r="43" spans="1:11" ht="42" customHeight="1">
      <c r="A43" s="167" t="s">
        <v>99</v>
      </c>
      <c r="B43" s="168"/>
      <c r="C43" s="168"/>
      <c r="D43" s="168"/>
      <c r="E43" s="169"/>
      <c r="F43" s="170"/>
      <c r="G43" s="171"/>
      <c r="H43" s="172"/>
      <c r="I43" s="166"/>
      <c r="J43" s="6"/>
      <c r="K43" s="6"/>
    </row>
    <row r="44" spans="1:11" ht="57.6" customHeight="1">
      <c r="A44" s="160" t="s">
        <v>154</v>
      </c>
      <c r="B44" s="161"/>
      <c r="C44" s="161"/>
      <c r="D44" s="161"/>
      <c r="E44" s="103">
        <v>10</v>
      </c>
      <c r="F44" s="178"/>
      <c r="G44" s="211"/>
      <c r="H44" s="179"/>
      <c r="I44" s="165">
        <f t="shared" ref="I44" si="13">IF(F44="N/A",10)+SUM(F44)</f>
        <v>0</v>
      </c>
      <c r="J44" s="6"/>
      <c r="K44" s="6"/>
    </row>
    <row r="45" spans="1:11" ht="42" customHeight="1">
      <c r="A45" s="167" t="s">
        <v>101</v>
      </c>
      <c r="B45" s="168"/>
      <c r="C45" s="168"/>
      <c r="D45" s="168"/>
      <c r="E45" s="169"/>
      <c r="F45" s="170"/>
      <c r="G45" s="171"/>
      <c r="H45" s="172"/>
      <c r="I45" s="166"/>
      <c r="J45" s="6"/>
      <c r="K45" s="6"/>
    </row>
    <row r="46" spans="1:11" ht="69" customHeight="1">
      <c r="A46" s="160" t="s">
        <v>155</v>
      </c>
      <c r="B46" s="161"/>
      <c r="C46" s="161"/>
      <c r="D46" s="161"/>
      <c r="E46" s="103">
        <v>10</v>
      </c>
      <c r="F46" s="178"/>
      <c r="G46" s="211"/>
      <c r="H46" s="179"/>
      <c r="I46" s="165">
        <f t="shared" ref="I46" si="14">IF(F46="N/A",10)+SUM(F46)</f>
        <v>0</v>
      </c>
      <c r="J46" s="6"/>
      <c r="K46" s="6"/>
    </row>
    <row r="47" spans="1:11" ht="42" customHeight="1">
      <c r="A47" s="167" t="s">
        <v>103</v>
      </c>
      <c r="B47" s="168"/>
      <c r="C47" s="168"/>
      <c r="D47" s="168"/>
      <c r="E47" s="169"/>
      <c r="F47" s="170"/>
      <c r="G47" s="171"/>
      <c r="H47" s="172"/>
      <c r="I47" s="166"/>
      <c r="J47" s="6"/>
      <c r="K47" s="6"/>
    </row>
    <row r="48" spans="1:11" ht="43.15" customHeight="1">
      <c r="A48" s="160" t="s">
        <v>156</v>
      </c>
      <c r="B48" s="161"/>
      <c r="C48" s="161"/>
      <c r="D48" s="161"/>
      <c r="E48" s="103">
        <v>10</v>
      </c>
      <c r="F48" s="178"/>
      <c r="G48" s="211"/>
      <c r="H48" s="179"/>
      <c r="I48" s="165">
        <f t="shared" ref="I48" si="15">IF(F48="N/A",10)+SUM(F48)</f>
        <v>0</v>
      </c>
      <c r="J48" s="6"/>
      <c r="K48" s="6"/>
    </row>
    <row r="49" spans="1:11" ht="42" customHeight="1">
      <c r="A49" s="167" t="s">
        <v>105</v>
      </c>
      <c r="B49" s="168"/>
      <c r="C49" s="168"/>
      <c r="D49" s="168"/>
      <c r="E49" s="169"/>
      <c r="F49" s="170"/>
      <c r="G49" s="171"/>
      <c r="H49" s="172"/>
      <c r="I49" s="166"/>
      <c r="J49" s="6"/>
      <c r="K49" s="6"/>
    </row>
    <row r="50" spans="1:11" ht="80.45" customHeight="1">
      <c r="A50" s="160" t="s">
        <v>157</v>
      </c>
      <c r="B50" s="161"/>
      <c r="C50" s="161"/>
      <c r="D50" s="161"/>
      <c r="E50" s="103">
        <v>10</v>
      </c>
      <c r="F50" s="178"/>
      <c r="G50" s="211"/>
      <c r="H50" s="179"/>
      <c r="I50" s="165">
        <f t="shared" ref="I50" si="16">IF(F50="N/A",10)+SUM(F50)</f>
        <v>0</v>
      </c>
      <c r="J50" s="6"/>
      <c r="K50" s="6"/>
    </row>
    <row r="51" spans="1:11" ht="42" customHeight="1">
      <c r="A51" s="167" t="s">
        <v>107</v>
      </c>
      <c r="B51" s="168"/>
      <c r="C51" s="168"/>
      <c r="D51" s="168"/>
      <c r="E51" s="169"/>
      <c r="F51" s="170"/>
      <c r="G51" s="171"/>
      <c r="H51" s="172"/>
      <c r="I51" s="166"/>
      <c r="J51" s="6"/>
      <c r="K51" s="6"/>
    </row>
    <row r="52" spans="1:11" ht="15.6">
      <c r="A52" s="202" t="s">
        <v>158</v>
      </c>
      <c r="B52" s="202"/>
      <c r="C52" s="202"/>
      <c r="D52" s="202"/>
      <c r="E52" s="105">
        <f>SUM(E38+E36+E34+E32+E26+E24+E17+E30+E22+E20+E15+E13+E11+E9+E44+E42+E40+E50+E48+E46)</f>
        <v>200</v>
      </c>
      <c r="H52" s="64" t="s">
        <v>69</v>
      </c>
      <c r="I52" s="106">
        <f>SUM(I38+I36+I34+I32+I30+I26+I24+I22+I20+I15+I13+I11+I9+I44+I42+I40+I46+I48+I50+I17)</f>
        <v>7</v>
      </c>
      <c r="J52" s="6"/>
      <c r="K52" s="6"/>
    </row>
    <row r="53" spans="1:11" ht="14.45">
      <c r="A53" s="17"/>
      <c r="B53" s="17"/>
      <c r="C53" s="17"/>
      <c r="D53" s="17"/>
      <c r="J53" s="6"/>
      <c r="K53" s="6"/>
    </row>
    <row r="54" spans="1:11" ht="18.75" customHeight="1">
      <c r="A54" s="5"/>
      <c r="B54" s="5"/>
      <c r="C54" s="5"/>
      <c r="D54" s="107" t="s">
        <v>70</v>
      </c>
      <c r="E54" s="212"/>
      <c r="F54" s="213"/>
      <c r="G54" s="117"/>
      <c r="H54" s="117"/>
      <c r="I54" s="196" t="s">
        <v>71</v>
      </c>
      <c r="J54" s="6"/>
      <c r="K54" s="6"/>
    </row>
    <row r="55" spans="1:11" ht="18.600000000000001" customHeight="1">
      <c r="A55" s="5"/>
      <c r="B55" s="5"/>
      <c r="C55" s="5"/>
      <c r="D55" s="107" t="s">
        <v>72</v>
      </c>
      <c r="E55" s="162"/>
      <c r="F55" s="164"/>
      <c r="G55" s="103"/>
      <c r="H55" s="103"/>
      <c r="I55" s="196"/>
      <c r="J55" s="30"/>
    </row>
    <row r="56" spans="1:11" ht="27" customHeight="1">
      <c r="A56" s="214" t="s">
        <v>73</v>
      </c>
      <c r="B56" s="214"/>
      <c r="C56" s="214"/>
      <c r="D56" s="214"/>
      <c r="E56" s="215" t="s">
        <v>74</v>
      </c>
      <c r="F56" s="216"/>
      <c r="G56" s="216"/>
      <c r="H56" s="217"/>
      <c r="I56" s="196"/>
    </row>
    <row r="57" spans="1:11" ht="30" customHeight="1">
      <c r="A57" s="199" t="s">
        <v>159</v>
      </c>
      <c r="B57" s="173"/>
      <c r="C57" s="173"/>
      <c r="D57" s="173"/>
      <c r="E57" s="162"/>
      <c r="F57" s="164"/>
      <c r="G57" s="1"/>
      <c r="H57" s="7"/>
      <c r="I57" s="115"/>
    </row>
    <row r="58" spans="1:11" ht="29.45" customHeight="1">
      <c r="A58" s="199" t="s">
        <v>160</v>
      </c>
      <c r="B58" s="173"/>
      <c r="C58" s="173"/>
      <c r="D58" s="173"/>
      <c r="E58" s="162"/>
      <c r="F58" s="164"/>
      <c r="G58" s="1"/>
      <c r="H58" s="7"/>
      <c r="I58" s="115"/>
    </row>
    <row r="59" spans="1:11" ht="55.9" customHeight="1">
      <c r="A59" s="199" t="s">
        <v>161</v>
      </c>
      <c r="B59" s="173"/>
      <c r="C59" s="173"/>
      <c r="D59" s="173"/>
      <c r="E59" s="162"/>
      <c r="F59" s="164"/>
      <c r="G59" s="1"/>
      <c r="H59" s="7"/>
      <c r="I59" s="115"/>
    </row>
    <row r="60" spans="1:11" ht="16.149999999999999" customHeight="1">
      <c r="A60" s="199" t="s">
        <v>162</v>
      </c>
      <c r="B60" s="173"/>
      <c r="C60" s="173"/>
      <c r="D60" s="173"/>
      <c r="E60" s="162"/>
      <c r="F60" s="164"/>
      <c r="G60" s="1"/>
      <c r="H60" s="1"/>
      <c r="I60" s="115"/>
    </row>
    <row r="61" spans="1:11" ht="27" customHeight="1">
      <c r="A61" s="199" t="s">
        <v>163</v>
      </c>
      <c r="B61" s="173"/>
      <c r="C61" s="173"/>
      <c r="D61" s="173"/>
      <c r="E61" s="162"/>
      <c r="F61" s="164"/>
      <c r="G61" s="1"/>
      <c r="H61" s="1"/>
      <c r="I61" s="115"/>
    </row>
    <row r="62" spans="1:11" ht="14.45">
      <c r="A62" s="6"/>
      <c r="B62" s="6"/>
      <c r="C62" s="6"/>
      <c r="D62" s="6"/>
      <c r="E62" s="8"/>
      <c r="F62" s="6"/>
      <c r="G62" s="6"/>
      <c r="H62" s="6"/>
      <c r="I62" s="8"/>
    </row>
    <row r="63" spans="1:11" ht="14.45">
      <c r="A63" s="6"/>
      <c r="B63" s="6"/>
      <c r="C63" s="6"/>
      <c r="D63" s="6"/>
      <c r="E63" s="8"/>
      <c r="F63" s="6"/>
      <c r="G63" s="6"/>
      <c r="H63" s="6"/>
      <c r="I63" s="8"/>
    </row>
    <row r="64" spans="1:11" ht="14.45">
      <c r="A64" s="6"/>
      <c r="B64" s="6"/>
      <c r="C64" s="6"/>
      <c r="D64" s="6"/>
      <c r="E64" s="8"/>
      <c r="F64" s="6"/>
      <c r="G64" s="6"/>
      <c r="H64" s="6"/>
      <c r="I64" s="8"/>
    </row>
    <row r="65" spans="1:9" ht="14.45">
      <c r="A65" s="6"/>
      <c r="B65" s="6"/>
      <c r="C65" s="6"/>
      <c r="D65" s="6"/>
      <c r="E65" s="8"/>
      <c r="F65" s="6"/>
      <c r="G65" s="6"/>
      <c r="H65" s="6"/>
      <c r="I65" s="8"/>
    </row>
  </sheetData>
  <sheetProtection algorithmName="SHA-512" hashValue="5/Yt4VDy+2DOzkAmjWcNPYiZ/3/OnH+zsAIHzixEjkZwuSk32Jhpblz0klt48VBQkZQSqEWBVbgn5f9MVmZe7Q==" saltValue="HE4xHV2E9MRCy5T4GoWt/g==" spinCount="100000" sheet="1" objects="1" scenarios="1"/>
  <protectedRanges>
    <protectedRange sqref="B1" name="Range8"/>
    <protectedRange sqref="F30:H51" name="Range4"/>
    <protectedRange sqref="F20:H27" name="Range3"/>
    <protectedRange sqref="F9:H18" name="Range2"/>
    <protectedRange sqref="F4:H7" name="Range1"/>
    <protectedRange sqref="H1" name="Range7"/>
    <protectedRange sqref="E57:H61" name="Range6_1"/>
    <protectedRange sqref="E54:H55" name="Range5_1"/>
  </protectedRanges>
  <mergeCells count="114">
    <mergeCell ref="I40:I41"/>
    <mergeCell ref="A41:E41"/>
    <mergeCell ref="F41:H41"/>
    <mergeCell ref="A42:D42"/>
    <mergeCell ref="F42:H42"/>
    <mergeCell ref="I42:I43"/>
    <mergeCell ref="A43:E43"/>
    <mergeCell ref="F43:H43"/>
    <mergeCell ref="A40:D40"/>
    <mergeCell ref="F40:H40"/>
    <mergeCell ref="A60:D60"/>
    <mergeCell ref="E60:F60"/>
    <mergeCell ref="I50:I51"/>
    <mergeCell ref="A44:D44"/>
    <mergeCell ref="F44:H44"/>
    <mergeCell ref="I44:I45"/>
    <mergeCell ref="A45:E45"/>
    <mergeCell ref="F45:H45"/>
    <mergeCell ref="I46:I47"/>
    <mergeCell ref="I48:I49"/>
    <mergeCell ref="F49:H49"/>
    <mergeCell ref="I54:I56"/>
    <mergeCell ref="A61:D61"/>
    <mergeCell ref="E61:F61"/>
    <mergeCell ref="A46:D46"/>
    <mergeCell ref="F46:H46"/>
    <mergeCell ref="A47:E47"/>
    <mergeCell ref="F47:H47"/>
    <mergeCell ref="A48:D48"/>
    <mergeCell ref="F48:H48"/>
    <mergeCell ref="A57:D57"/>
    <mergeCell ref="E57:F57"/>
    <mergeCell ref="A58:D58"/>
    <mergeCell ref="E58:F58"/>
    <mergeCell ref="A59:D59"/>
    <mergeCell ref="E59:F59"/>
    <mergeCell ref="E54:F54"/>
    <mergeCell ref="E55:F55"/>
    <mergeCell ref="A50:D50"/>
    <mergeCell ref="F50:H50"/>
    <mergeCell ref="A51:E51"/>
    <mergeCell ref="F51:H51"/>
    <mergeCell ref="A56:D56"/>
    <mergeCell ref="E56:H56"/>
    <mergeCell ref="A52:D52"/>
    <mergeCell ref="A49:E49"/>
    <mergeCell ref="I36:I37"/>
    <mergeCell ref="A37:E37"/>
    <mergeCell ref="F37:H37"/>
    <mergeCell ref="A38:D38"/>
    <mergeCell ref="F38:H38"/>
    <mergeCell ref="I38:I39"/>
    <mergeCell ref="A39:E39"/>
    <mergeCell ref="F39:H39"/>
    <mergeCell ref="A36:D36"/>
    <mergeCell ref="F36:H36"/>
    <mergeCell ref="A32:D32"/>
    <mergeCell ref="F32:H32"/>
    <mergeCell ref="I32:I33"/>
    <mergeCell ref="A33:E33"/>
    <mergeCell ref="F33:H33"/>
    <mergeCell ref="A34:D34"/>
    <mergeCell ref="F34:H34"/>
    <mergeCell ref="I34:I35"/>
    <mergeCell ref="A35:E35"/>
    <mergeCell ref="F35:H35"/>
    <mergeCell ref="A28:I28"/>
    <mergeCell ref="A29:D29"/>
    <mergeCell ref="F29:H29"/>
    <mergeCell ref="A30:D30"/>
    <mergeCell ref="F30:H30"/>
    <mergeCell ref="I30:I31"/>
    <mergeCell ref="A31:E31"/>
    <mergeCell ref="F31:H31"/>
    <mergeCell ref="A26:D26"/>
    <mergeCell ref="I26:I27"/>
    <mergeCell ref="A27:E27"/>
    <mergeCell ref="F26:H26"/>
    <mergeCell ref="F27:H27"/>
    <mergeCell ref="A24:D24"/>
    <mergeCell ref="I24:I25"/>
    <mergeCell ref="A25:E25"/>
    <mergeCell ref="F22:H22"/>
    <mergeCell ref="F23:H23"/>
    <mergeCell ref="A22:D22"/>
    <mergeCell ref="I22:I23"/>
    <mergeCell ref="A23:E23"/>
    <mergeCell ref="A15:D15"/>
    <mergeCell ref="I15:I16"/>
    <mergeCell ref="A16:E16"/>
    <mergeCell ref="A20:D20"/>
    <mergeCell ref="I20:I21"/>
    <mergeCell ref="A21:E21"/>
    <mergeCell ref="A17:D17"/>
    <mergeCell ref="I17:I18"/>
    <mergeCell ref="A18:E18"/>
    <mergeCell ref="F24:H24"/>
    <mergeCell ref="F25:H25"/>
    <mergeCell ref="A19:I19"/>
    <mergeCell ref="F20:H20"/>
    <mergeCell ref="F21:H21"/>
    <mergeCell ref="A11:D11"/>
    <mergeCell ref="I11:I12"/>
    <mergeCell ref="A12:E12"/>
    <mergeCell ref="A13:D13"/>
    <mergeCell ref="I13:I14"/>
    <mergeCell ref="A14:E14"/>
    <mergeCell ref="B1:E1"/>
    <mergeCell ref="A4:D7"/>
    <mergeCell ref="A8:D8"/>
    <mergeCell ref="F8:H8"/>
    <mergeCell ref="A9:D9"/>
    <mergeCell ref="I9:I10"/>
    <mergeCell ref="A10:E10"/>
  </mergeCells>
  <conditionalFormatting sqref="I57:I61">
    <cfRule type="containsText" dxfId="14" priority="1" operator="containsText" text="Yes">
      <formula>NOT(ISERROR(SEARCH("Yes",I57)))</formula>
    </cfRule>
  </conditionalFormatting>
  <printOptions horizontalCentered="1"/>
  <pageMargins left="0.25" right="0.25" top="0.5" bottom="0.3" header="0.25" footer="0.2"/>
  <pageSetup scale="78" fitToHeight="0" orientation="landscape" r:id="rId1"/>
  <headerFooter differentFirst="1">
    <oddFooter>Page &amp;P of &amp;N</oddFooter>
  </headerFooter>
  <extLst>
    <ext xmlns:x14="http://schemas.microsoft.com/office/spreadsheetml/2009/9/main" uri="{CCE6A557-97BC-4b89-ADB6-D9C93CAAB3DF}">
      <x14:dataValidations xmlns:xm="http://schemas.microsoft.com/office/excel/2006/main" count="6">
        <x14:dataValidation type="list" allowBlank="1" showInputMessage="1" showErrorMessage="1" xr:uid="{B692146C-8975-4B06-99B1-827B4B131127}">
          <x14:formula1>
            <xm:f>Data!$I$2:$I$5</xm:f>
          </x14:formula1>
          <xm:sqref>F38:H38 F30:H30 F32:H32 F34:H34 F36:H36 F40:H40 F42:H42 F44:H44 F46:H46 F48:H48 F50:H50 F20:H20 F22:H22 F24:H24 F26:H26</xm:sqref>
        </x14:dataValidation>
        <x14:dataValidation type="list" allowBlank="1" showInputMessage="1" showErrorMessage="1" xr:uid="{76CAD761-E209-4895-A625-434FB43D9067}">
          <x14:formula1>
            <xm:f>Data!$G$2:$G$5</xm:f>
          </x14:formula1>
          <xm:sqref>G11:H11 G9:H9 G13:H13 G15:H15 G17:H17</xm:sqref>
        </x14:dataValidation>
        <x14:dataValidation type="list" allowBlank="1" showInputMessage="1" showErrorMessage="1" xr:uid="{9EA1C010-BF36-4A8B-8536-8F58A8AC6C68}">
          <x14:formula1>
            <xm:f>Data!$E$2:$E$5</xm:f>
          </x14:formula1>
          <xm:sqref>F11 F9 F13 F15 F17</xm:sqref>
        </x14:dataValidation>
        <x14:dataValidation type="list" allowBlank="1" showInputMessage="1" showErrorMessage="1" xr:uid="{74D64ED3-2CDE-41A2-9DA6-74FA17239E6B}">
          <x14:formula1>
            <xm:f>Data!$E$22:$E$29</xm:f>
          </x14:formula1>
          <xm:sqref>F6:H6</xm:sqref>
        </x14:dataValidation>
        <x14:dataValidation type="list" allowBlank="1" showInputMessage="1" showErrorMessage="1" xr:uid="{6DBE527F-0426-4ED8-BF14-D07B5359A568}">
          <x14:formula1>
            <xm:f>Data!$G$18:$G$24</xm:f>
          </x14:formula1>
          <xm:sqref>F7:H7</xm:sqref>
        </x14:dataValidation>
        <x14:dataValidation type="list" allowBlank="1" showInputMessage="1" showErrorMessage="1" xr:uid="{DCE8474D-E3DD-49C0-B8A1-CB2951CBBA95}">
          <x14:formula1>
            <xm:f>Data!$K$2:$K$4</xm:f>
          </x14:formula1>
          <xm:sqref>I57:I61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4D814-32CC-44BE-B448-6CD1F214D0AF}">
  <dimension ref="A1:K54"/>
  <sheetViews>
    <sheetView workbookViewId="0">
      <selection activeCell="K2" sqref="K2"/>
    </sheetView>
  </sheetViews>
  <sheetFormatPr defaultRowHeight="14.45"/>
  <cols>
    <col min="1" max="1" width="27.5703125" bestFit="1" customWidth="1"/>
    <col min="3" max="3" width="22.42578125" customWidth="1"/>
    <col min="5" max="5" width="26.42578125" customWidth="1"/>
    <col min="7" max="7" width="28.5703125" customWidth="1"/>
    <col min="9" max="9" width="15" customWidth="1"/>
    <col min="11" max="11" width="52.85546875" bestFit="1" customWidth="1"/>
  </cols>
  <sheetData>
    <row r="1" spans="1:11">
      <c r="A1" t="s">
        <v>164</v>
      </c>
      <c r="C1" t="s">
        <v>165</v>
      </c>
      <c r="E1" t="s">
        <v>166</v>
      </c>
      <c r="G1" s="16" t="s">
        <v>167</v>
      </c>
      <c r="I1" t="s">
        <v>168</v>
      </c>
      <c r="K1" t="s">
        <v>169</v>
      </c>
    </row>
    <row r="2" spans="1:11">
      <c r="A2" t="s">
        <v>27</v>
      </c>
      <c r="C2" t="s">
        <v>27</v>
      </c>
      <c r="E2" s="16"/>
      <c r="G2" s="16"/>
      <c r="I2" s="16"/>
      <c r="J2" s="16"/>
      <c r="K2" s="16"/>
    </row>
    <row r="3" spans="1:11">
      <c r="A3" t="s">
        <v>170</v>
      </c>
      <c r="C3" t="s">
        <v>171</v>
      </c>
      <c r="E3" s="16">
        <v>4</v>
      </c>
      <c r="G3" s="16">
        <v>3</v>
      </c>
      <c r="I3" s="16">
        <v>10</v>
      </c>
      <c r="J3" s="16"/>
      <c r="K3" s="16" t="s">
        <v>172</v>
      </c>
    </row>
    <row r="4" spans="1:11">
      <c r="A4" t="s">
        <v>173</v>
      </c>
      <c r="C4" t="s">
        <v>174</v>
      </c>
      <c r="E4" s="16">
        <v>0</v>
      </c>
      <c r="G4" s="16">
        <v>0</v>
      </c>
      <c r="I4" s="16">
        <v>0</v>
      </c>
      <c r="J4" s="16"/>
      <c r="K4" s="16" t="s">
        <v>175</v>
      </c>
    </row>
    <row r="5" spans="1:11">
      <c r="A5" t="s">
        <v>176</v>
      </c>
      <c r="C5" t="s">
        <v>177</v>
      </c>
      <c r="E5" s="16" t="s">
        <v>35</v>
      </c>
      <c r="G5" s="16" t="s">
        <v>35</v>
      </c>
      <c r="I5" s="16" t="s">
        <v>35</v>
      </c>
      <c r="J5" s="16"/>
    </row>
    <row r="6" spans="1:11">
      <c r="A6" t="s">
        <v>178</v>
      </c>
      <c r="C6" t="s">
        <v>170</v>
      </c>
      <c r="K6" t="s">
        <v>179</v>
      </c>
    </row>
    <row r="7" spans="1:11">
      <c r="A7" t="s">
        <v>180</v>
      </c>
      <c r="C7" t="s">
        <v>181</v>
      </c>
      <c r="I7" t="s">
        <v>182</v>
      </c>
    </row>
    <row r="8" spans="1:11">
      <c r="A8" t="s">
        <v>183</v>
      </c>
      <c r="C8" t="s">
        <v>184</v>
      </c>
      <c r="I8" s="25"/>
      <c r="K8" s="26" t="s">
        <v>185</v>
      </c>
    </row>
    <row r="9" spans="1:11">
      <c r="A9" t="s">
        <v>186</v>
      </c>
      <c r="C9" t="s">
        <v>187</v>
      </c>
      <c r="I9" s="25" t="s">
        <v>188</v>
      </c>
      <c r="K9" s="27" t="s">
        <v>189</v>
      </c>
    </row>
    <row r="10" spans="1:11">
      <c r="I10" s="25" t="s">
        <v>3</v>
      </c>
      <c r="K10" s="26" t="s">
        <v>190</v>
      </c>
    </row>
    <row r="11" spans="1:11">
      <c r="E11" t="s">
        <v>191</v>
      </c>
      <c r="G11" t="s">
        <v>192</v>
      </c>
      <c r="I11" s="25" t="s">
        <v>193</v>
      </c>
      <c r="K11" s="27" t="s">
        <v>194</v>
      </c>
    </row>
    <row r="12" spans="1:11">
      <c r="A12" t="s">
        <v>195</v>
      </c>
      <c r="C12" t="s">
        <v>196</v>
      </c>
      <c r="E12" t="s">
        <v>27</v>
      </c>
      <c r="G12" t="s">
        <v>27</v>
      </c>
      <c r="I12" s="25" t="s">
        <v>197</v>
      </c>
      <c r="K12" s="26" t="s">
        <v>1</v>
      </c>
    </row>
    <row r="13" spans="1:11">
      <c r="A13" t="s">
        <v>27</v>
      </c>
      <c r="C13" t="s">
        <v>27</v>
      </c>
      <c r="E13" t="s">
        <v>198</v>
      </c>
      <c r="G13" t="s">
        <v>199</v>
      </c>
      <c r="I13" s="25" t="s">
        <v>200</v>
      </c>
      <c r="K13" s="27" t="s">
        <v>201</v>
      </c>
    </row>
    <row r="14" spans="1:11">
      <c r="A14" t="s">
        <v>202</v>
      </c>
      <c r="C14" t="s">
        <v>203</v>
      </c>
      <c r="E14" t="s">
        <v>204</v>
      </c>
      <c r="G14" t="s">
        <v>205</v>
      </c>
      <c r="I14" s="25" t="s">
        <v>206</v>
      </c>
      <c r="K14" s="26" t="s">
        <v>207</v>
      </c>
    </row>
    <row r="15" spans="1:11">
      <c r="A15" t="s">
        <v>208</v>
      </c>
      <c r="C15" t="s">
        <v>209</v>
      </c>
      <c r="E15" t="s">
        <v>210</v>
      </c>
      <c r="G15" t="s">
        <v>211</v>
      </c>
      <c r="I15" s="25" t="s">
        <v>212</v>
      </c>
      <c r="K15" s="27" t="s">
        <v>213</v>
      </c>
    </row>
    <row r="16" spans="1:11">
      <c r="A16" t="s">
        <v>214</v>
      </c>
      <c r="C16" t="s">
        <v>215</v>
      </c>
      <c r="E16" t="s">
        <v>216</v>
      </c>
      <c r="I16" s="25" t="s">
        <v>217</v>
      </c>
      <c r="K16" s="26" t="s">
        <v>218</v>
      </c>
    </row>
    <row r="17" spans="1:11">
      <c r="A17" t="s">
        <v>219</v>
      </c>
      <c r="C17" t="s">
        <v>220</v>
      </c>
      <c r="E17" t="s">
        <v>176</v>
      </c>
      <c r="G17" t="s">
        <v>221</v>
      </c>
      <c r="I17" s="25" t="s">
        <v>222</v>
      </c>
      <c r="K17" s="27" t="s">
        <v>223</v>
      </c>
    </row>
    <row r="18" spans="1:11">
      <c r="A18" t="s">
        <v>224</v>
      </c>
      <c r="E18" t="s">
        <v>225</v>
      </c>
      <c r="G18" t="s">
        <v>27</v>
      </c>
      <c r="I18" s="25" t="s">
        <v>226</v>
      </c>
      <c r="K18" s="26" t="s">
        <v>227</v>
      </c>
    </row>
    <row r="19" spans="1:11">
      <c r="C19" t="s">
        <v>228</v>
      </c>
      <c r="E19" t="s">
        <v>229</v>
      </c>
      <c r="G19" t="s">
        <v>125</v>
      </c>
      <c r="I19" s="25" t="s">
        <v>230</v>
      </c>
      <c r="K19" s="27" t="s">
        <v>231</v>
      </c>
    </row>
    <row r="20" spans="1:11">
      <c r="A20" t="s">
        <v>232</v>
      </c>
      <c r="C20" t="s">
        <v>27</v>
      </c>
      <c r="G20" t="s">
        <v>233</v>
      </c>
      <c r="I20" s="25" t="s">
        <v>234</v>
      </c>
      <c r="K20" s="26" t="s">
        <v>235</v>
      </c>
    </row>
    <row r="21" spans="1:11">
      <c r="A21" t="s">
        <v>27</v>
      </c>
      <c r="C21" t="s">
        <v>236</v>
      </c>
      <c r="E21" t="s">
        <v>237</v>
      </c>
      <c r="G21" t="s">
        <v>238</v>
      </c>
      <c r="K21" s="27" t="s">
        <v>239</v>
      </c>
    </row>
    <row r="22" spans="1:11">
      <c r="A22" t="s">
        <v>240</v>
      </c>
      <c r="C22" t="s">
        <v>241</v>
      </c>
      <c r="E22" t="s">
        <v>27</v>
      </c>
      <c r="G22" t="s">
        <v>124</v>
      </c>
      <c r="K22" s="26" t="s">
        <v>242</v>
      </c>
    </row>
    <row r="23" spans="1:11">
      <c r="A23" t="s">
        <v>176</v>
      </c>
      <c r="C23" t="s">
        <v>243</v>
      </c>
      <c r="E23" t="s">
        <v>122</v>
      </c>
      <c r="G23" t="s">
        <v>244</v>
      </c>
      <c r="K23" s="27" t="s">
        <v>245</v>
      </c>
    </row>
    <row r="24" spans="1:11">
      <c r="A24" t="s">
        <v>246</v>
      </c>
      <c r="C24" t="s">
        <v>247</v>
      </c>
      <c r="E24" t="s">
        <v>248</v>
      </c>
      <c r="G24" t="s">
        <v>249</v>
      </c>
      <c r="K24" s="26" t="s">
        <v>250</v>
      </c>
    </row>
    <row r="25" spans="1:11">
      <c r="A25" s="23" t="s">
        <v>26</v>
      </c>
      <c r="C25" t="s">
        <v>29</v>
      </c>
      <c r="E25" t="s">
        <v>125</v>
      </c>
      <c r="K25" s="26" t="s">
        <v>251</v>
      </c>
    </row>
    <row r="26" spans="1:11">
      <c r="A26" t="s">
        <v>252</v>
      </c>
      <c r="C26" t="s">
        <v>253</v>
      </c>
      <c r="E26" t="s">
        <v>254</v>
      </c>
      <c r="K26" s="27" t="s">
        <v>255</v>
      </c>
    </row>
    <row r="27" spans="1:11">
      <c r="C27" t="s">
        <v>256</v>
      </c>
      <c r="E27" t="s">
        <v>176</v>
      </c>
      <c r="K27" s="26" t="s">
        <v>257</v>
      </c>
    </row>
    <row r="28" spans="1:11">
      <c r="C28" t="s">
        <v>176</v>
      </c>
      <c r="E28" t="s">
        <v>244</v>
      </c>
      <c r="K28" s="27" t="s">
        <v>258</v>
      </c>
    </row>
    <row r="29" spans="1:11">
      <c r="E29" t="s">
        <v>259</v>
      </c>
      <c r="K29" s="26" t="s">
        <v>260</v>
      </c>
    </row>
    <row r="30" spans="1:11">
      <c r="K30" s="27" t="s">
        <v>261</v>
      </c>
    </row>
    <row r="31" spans="1:11">
      <c r="K31" s="26" t="s">
        <v>262</v>
      </c>
    </row>
    <row r="32" spans="1:11">
      <c r="K32" s="27" t="s">
        <v>263</v>
      </c>
    </row>
    <row r="33" spans="11:11">
      <c r="K33" s="26" t="s">
        <v>264</v>
      </c>
    </row>
    <row r="34" spans="11:11">
      <c r="K34" s="27" t="s">
        <v>265</v>
      </c>
    </row>
    <row r="35" spans="11:11">
      <c r="K35" s="26" t="s">
        <v>266</v>
      </c>
    </row>
    <row r="36" spans="11:11">
      <c r="K36" s="27" t="s">
        <v>267</v>
      </c>
    </row>
    <row r="37" spans="11:11">
      <c r="K37" s="26" t="s">
        <v>268</v>
      </c>
    </row>
    <row r="38" spans="11:11">
      <c r="K38" s="27" t="s">
        <v>269</v>
      </c>
    </row>
    <row r="39" spans="11:11">
      <c r="K39" s="26" t="s">
        <v>270</v>
      </c>
    </row>
    <row r="40" spans="11:11">
      <c r="K40" s="27" t="s">
        <v>271</v>
      </c>
    </row>
    <row r="41" spans="11:11">
      <c r="K41" s="26" t="s">
        <v>272</v>
      </c>
    </row>
    <row r="42" spans="11:11">
      <c r="K42" s="27" t="s">
        <v>273</v>
      </c>
    </row>
    <row r="43" spans="11:11">
      <c r="K43" s="26" t="s">
        <v>274</v>
      </c>
    </row>
    <row r="44" spans="11:11">
      <c r="K44" s="27" t="s">
        <v>275</v>
      </c>
    </row>
    <row r="45" spans="11:11">
      <c r="K45" s="26" t="s">
        <v>276</v>
      </c>
    </row>
    <row r="46" spans="11:11">
      <c r="K46" s="27" t="s">
        <v>277</v>
      </c>
    </row>
    <row r="47" spans="11:11">
      <c r="K47" s="26" t="s">
        <v>278</v>
      </c>
    </row>
    <row r="48" spans="11:11">
      <c r="K48" s="26" t="s">
        <v>279</v>
      </c>
    </row>
    <row r="49" spans="11:11">
      <c r="K49" s="27" t="s">
        <v>280</v>
      </c>
    </row>
    <row r="50" spans="11:11">
      <c r="K50" s="26" t="s">
        <v>281</v>
      </c>
    </row>
    <row r="51" spans="11:11">
      <c r="K51" s="27" t="s">
        <v>282</v>
      </c>
    </row>
    <row r="52" spans="11:11">
      <c r="K52" s="26" t="s">
        <v>283</v>
      </c>
    </row>
    <row r="53" spans="11:11">
      <c r="K53" s="27" t="s">
        <v>284</v>
      </c>
    </row>
    <row r="54" spans="11:11">
      <c r="K54" s="28" t="s">
        <v>285</v>
      </c>
    </row>
  </sheetData>
  <sortState xmlns:xlrd2="http://schemas.microsoft.com/office/spreadsheetml/2017/richdata2" ref="G19:G24">
    <sortCondition ref="G19:G24"/>
  </sortState>
  <pageMargins left="0.7" right="0.7" top="0.75" bottom="0.75" header="0.3" footer="0.3"/>
  <legacyDrawing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E2C7C-71D6-447D-95C7-E3A9B8E80185}">
  <sheetPr>
    <pageSetUpPr fitToPage="1"/>
  </sheetPr>
  <dimension ref="A1:K66"/>
  <sheetViews>
    <sheetView zoomScaleNormal="100" workbookViewId="0">
      <selection activeCell="H34" sqref="H34"/>
    </sheetView>
  </sheetViews>
  <sheetFormatPr defaultColWidth="9.140625" defaultRowHeight="13.9"/>
  <cols>
    <col min="1" max="1" width="5.85546875" style="2" customWidth="1"/>
    <col min="2" max="3" width="10.7109375" style="2" customWidth="1"/>
    <col min="4" max="4" width="12.7109375" style="2" customWidth="1"/>
    <col min="5" max="5" width="9" style="4" customWidth="1"/>
    <col min="6" max="6" width="30.7109375" style="2" customWidth="1"/>
    <col min="7" max="7" width="37.42578125" style="2" customWidth="1"/>
    <col min="8" max="8" width="34.140625" style="2" customWidth="1"/>
    <col min="9" max="16384" width="9.140625" style="2"/>
  </cols>
  <sheetData>
    <row r="1" spans="1:11" ht="14.45">
      <c r="A1" s="2" t="s">
        <v>19</v>
      </c>
      <c r="B1" s="139"/>
      <c r="C1" s="139"/>
      <c r="D1" s="139"/>
      <c r="E1" s="139"/>
      <c r="G1" s="17" t="s">
        <v>20</v>
      </c>
      <c r="H1" s="3" t="s">
        <v>286</v>
      </c>
    </row>
    <row r="3" spans="1:11" ht="9.9499999999999993" customHeight="1">
      <c r="A3" s="15"/>
      <c r="B3" s="15"/>
      <c r="C3" s="15"/>
      <c r="D3" s="15"/>
      <c r="E3" s="5"/>
      <c r="F3" s="5"/>
      <c r="G3" s="5"/>
      <c r="H3" s="5"/>
    </row>
    <row r="4" spans="1:11" ht="27.6" customHeight="1">
      <c r="A4" s="195" t="s">
        <v>287</v>
      </c>
      <c r="B4" s="195"/>
      <c r="C4" s="195"/>
      <c r="D4" s="195"/>
      <c r="E4" s="97" t="s">
        <v>22</v>
      </c>
      <c r="F4" s="98" t="s">
        <v>288</v>
      </c>
      <c r="G4" s="117" t="s">
        <v>289</v>
      </c>
      <c r="H4" s="99" t="s">
        <v>290</v>
      </c>
      <c r="J4" s="30"/>
    </row>
    <row r="5" spans="1:11" ht="14.45" customHeight="1">
      <c r="A5" s="195"/>
      <c r="B5" s="195"/>
      <c r="C5" s="195"/>
      <c r="D5" s="195"/>
      <c r="E5" s="98" t="s">
        <v>24</v>
      </c>
      <c r="F5" s="118" t="s">
        <v>291</v>
      </c>
      <c r="G5" s="119" t="s">
        <v>121</v>
      </c>
      <c r="H5" s="103" t="s">
        <v>292</v>
      </c>
      <c r="J5" s="30"/>
    </row>
    <row r="6" spans="1:11" s="9" customFormat="1" ht="31.15" customHeight="1">
      <c r="A6" s="195"/>
      <c r="B6" s="195"/>
      <c r="C6" s="195"/>
      <c r="D6" s="195"/>
      <c r="E6" s="99" t="s">
        <v>25</v>
      </c>
      <c r="F6" s="11" t="s">
        <v>203</v>
      </c>
      <c r="G6" s="11" t="s">
        <v>209</v>
      </c>
      <c r="H6" s="11" t="s">
        <v>209</v>
      </c>
      <c r="I6" s="31"/>
    </row>
    <row r="7" spans="1:11" s="9" customFormat="1" ht="30" customHeight="1">
      <c r="A7" s="195"/>
      <c r="B7" s="195"/>
      <c r="C7" s="195"/>
      <c r="D7" s="195"/>
      <c r="E7" s="100" t="s">
        <v>293</v>
      </c>
      <c r="F7" s="7" t="s">
        <v>208</v>
      </c>
      <c r="G7" s="7" t="s">
        <v>27</v>
      </c>
      <c r="H7" s="7" t="s">
        <v>27</v>
      </c>
    </row>
    <row r="8" spans="1:11" s="14" customFormat="1" ht="44.45" customHeight="1">
      <c r="A8" s="188" t="s">
        <v>30</v>
      </c>
      <c r="B8" s="188"/>
      <c r="C8" s="188"/>
      <c r="D8" s="188"/>
      <c r="E8" s="101" t="s">
        <v>31</v>
      </c>
      <c r="F8" s="143" t="s">
        <v>294</v>
      </c>
      <c r="G8" s="143"/>
      <c r="H8" s="143"/>
      <c r="I8" s="111" t="s">
        <v>33</v>
      </c>
    </row>
    <row r="9" spans="1:11" ht="101.45" customHeight="1">
      <c r="A9" s="218" t="s">
        <v>295</v>
      </c>
      <c r="B9" s="218"/>
      <c r="C9" s="218"/>
      <c r="D9" s="219"/>
      <c r="E9" s="7">
        <v>10</v>
      </c>
      <c r="F9" s="18" t="s">
        <v>134</v>
      </c>
      <c r="G9" s="18" t="s">
        <v>130</v>
      </c>
      <c r="H9" s="18" t="s">
        <v>130</v>
      </c>
      <c r="I9" s="227">
        <f>IF(F9="N/A",4)+IF(G9="N/A",3)+IF(H9="N/A",3)+SUM(F9:H9)</f>
        <v>0</v>
      </c>
      <c r="J9" s="30"/>
      <c r="K9" s="15"/>
    </row>
    <row r="10" spans="1:11" ht="42" customHeight="1">
      <c r="A10" s="167" t="s">
        <v>36</v>
      </c>
      <c r="B10" s="168"/>
      <c r="C10" s="168"/>
      <c r="D10" s="168"/>
      <c r="E10" s="169"/>
      <c r="F10" s="21"/>
      <c r="G10" s="21"/>
      <c r="H10" s="21"/>
      <c r="I10" s="228"/>
      <c r="J10" s="15"/>
      <c r="K10" s="15"/>
    </row>
    <row r="11" spans="1:11" ht="71.25" customHeight="1">
      <c r="A11" s="220" t="s">
        <v>296</v>
      </c>
      <c r="B11" s="220"/>
      <c r="C11" s="220"/>
      <c r="D11" s="221"/>
      <c r="E11" s="102">
        <v>10</v>
      </c>
      <c r="F11" s="18" t="s">
        <v>134</v>
      </c>
      <c r="G11" s="18" t="s">
        <v>130</v>
      </c>
      <c r="H11" s="18" t="s">
        <v>130</v>
      </c>
      <c r="I11" s="229">
        <f>IF(F11="N/A",4)+IF(G11="N/A",3)+IF(H11="N/A",3)+SUM(F11:H11)</f>
        <v>0</v>
      </c>
      <c r="J11" s="15"/>
      <c r="K11" s="15"/>
    </row>
    <row r="12" spans="1:11" ht="42" customHeight="1">
      <c r="A12" s="167" t="s">
        <v>39</v>
      </c>
      <c r="B12" s="168"/>
      <c r="C12" s="168"/>
      <c r="D12" s="168"/>
      <c r="E12" s="169"/>
      <c r="F12" s="21"/>
      <c r="G12" s="21"/>
      <c r="H12" s="21"/>
      <c r="I12" s="230"/>
      <c r="J12" s="15"/>
      <c r="K12" s="15"/>
    </row>
    <row r="13" spans="1:11" ht="40.9" customHeight="1">
      <c r="A13" s="187" t="s">
        <v>297</v>
      </c>
      <c r="B13" s="191"/>
      <c r="C13" s="191"/>
      <c r="D13" s="192"/>
      <c r="E13" s="102">
        <v>10</v>
      </c>
      <c r="F13" s="18" t="s">
        <v>134</v>
      </c>
      <c r="G13" s="18" t="s">
        <v>130</v>
      </c>
      <c r="H13" s="18" t="s">
        <v>130</v>
      </c>
      <c r="I13" s="229">
        <f>IF(F13="N/A",4)+IF(G13="N/A",3)+IF(H13="N/A",3)+SUM(F13:H13)</f>
        <v>0</v>
      </c>
      <c r="J13" s="15"/>
      <c r="K13" s="15"/>
    </row>
    <row r="14" spans="1:11" ht="42" customHeight="1">
      <c r="A14" s="167" t="s">
        <v>41</v>
      </c>
      <c r="B14" s="168"/>
      <c r="C14" s="168"/>
      <c r="D14" s="168"/>
      <c r="E14" s="169"/>
      <c r="F14" s="21"/>
      <c r="G14" s="21"/>
      <c r="H14" s="21"/>
      <c r="I14" s="230"/>
      <c r="J14" s="15"/>
      <c r="K14" s="15"/>
    </row>
    <row r="15" spans="1:11" ht="68.45" customHeight="1">
      <c r="A15" s="207" t="s">
        <v>298</v>
      </c>
      <c r="B15" s="191"/>
      <c r="C15" s="191"/>
      <c r="D15" s="192"/>
      <c r="E15" s="102">
        <v>10</v>
      </c>
      <c r="F15" s="18" t="s">
        <v>129</v>
      </c>
      <c r="G15" s="18" t="s">
        <v>130</v>
      </c>
      <c r="H15" s="18" t="s">
        <v>130</v>
      </c>
      <c r="I15" s="229">
        <f t="shared" ref="I15" si="0">IF(F15="N/A",4)+IF(G15="N/A",3)+IF(H15="N/A",3)+SUM(F15:H15)</f>
        <v>0</v>
      </c>
    </row>
    <row r="16" spans="1:11" ht="42" customHeight="1">
      <c r="A16" s="167" t="s">
        <v>43</v>
      </c>
      <c r="B16" s="168"/>
      <c r="C16" s="168"/>
      <c r="D16" s="168"/>
      <c r="E16" s="169"/>
      <c r="F16" s="21" t="s">
        <v>299</v>
      </c>
      <c r="G16" s="21"/>
      <c r="H16" s="21"/>
      <c r="I16" s="230"/>
    </row>
    <row r="17" spans="1:9" ht="34.9" customHeight="1">
      <c r="A17" s="173" t="s">
        <v>300</v>
      </c>
      <c r="B17" s="173"/>
      <c r="C17" s="173"/>
      <c r="D17" s="173"/>
      <c r="E17" s="102">
        <v>10</v>
      </c>
      <c r="F17" s="18" t="s">
        <v>129</v>
      </c>
      <c r="G17" s="18" t="s">
        <v>129</v>
      </c>
      <c r="H17" s="18" t="s">
        <v>130</v>
      </c>
      <c r="I17" s="229">
        <f t="shared" ref="I17" si="1">IF(F17="N/A",4)+IF(G17="N/A",3)+IF(H17="N/A",3)+SUM(F17:H17)</f>
        <v>0</v>
      </c>
    </row>
    <row r="18" spans="1:9" ht="42" customHeight="1">
      <c r="A18" s="167" t="s">
        <v>45</v>
      </c>
      <c r="B18" s="168"/>
      <c r="C18" s="168"/>
      <c r="D18" s="168"/>
      <c r="E18" s="169"/>
      <c r="F18" s="21" t="s">
        <v>301</v>
      </c>
      <c r="G18" s="21" t="s">
        <v>302</v>
      </c>
      <c r="H18" s="21" t="s">
        <v>303</v>
      </c>
      <c r="I18" s="230"/>
    </row>
    <row r="19" spans="1:9" ht="70.150000000000006" customHeight="1">
      <c r="A19" s="222" t="s">
        <v>304</v>
      </c>
      <c r="B19" s="161"/>
      <c r="C19" s="161"/>
      <c r="D19" s="194"/>
      <c r="E19" s="102">
        <v>10</v>
      </c>
      <c r="F19" s="18" t="s">
        <v>129</v>
      </c>
      <c r="G19" s="18" t="s">
        <v>130</v>
      </c>
      <c r="H19" s="18" t="s">
        <v>130</v>
      </c>
      <c r="I19" s="229">
        <f t="shared" ref="I19:I37" si="2">IF(F19="N/A",4)+IF(G19="N/A",3)+IF(H19="N/A",3)+SUM(F19:H19)</f>
        <v>0</v>
      </c>
    </row>
    <row r="20" spans="1:9" ht="42" customHeight="1">
      <c r="A20" s="167" t="s">
        <v>47</v>
      </c>
      <c r="B20" s="168"/>
      <c r="C20" s="168"/>
      <c r="D20" s="168"/>
      <c r="E20" s="169"/>
      <c r="F20" s="21" t="s">
        <v>305</v>
      </c>
      <c r="G20" s="21" t="s">
        <v>306</v>
      </c>
      <c r="H20" s="21"/>
      <c r="I20" s="230"/>
    </row>
    <row r="21" spans="1:9" ht="76.150000000000006" customHeight="1">
      <c r="A21" s="207" t="s">
        <v>307</v>
      </c>
      <c r="B21" s="191"/>
      <c r="C21" s="191"/>
      <c r="D21" s="192"/>
      <c r="E21" s="102">
        <v>10</v>
      </c>
      <c r="F21" s="18" t="s">
        <v>129</v>
      </c>
      <c r="G21" s="18" t="s">
        <v>129</v>
      </c>
      <c r="H21" s="18" t="s">
        <v>130</v>
      </c>
      <c r="I21" s="229">
        <f t="shared" si="2"/>
        <v>0</v>
      </c>
    </row>
    <row r="22" spans="1:9" ht="42" customHeight="1">
      <c r="A22" s="167" t="s">
        <v>49</v>
      </c>
      <c r="B22" s="168"/>
      <c r="C22" s="168"/>
      <c r="D22" s="168"/>
      <c r="E22" s="169"/>
      <c r="F22" s="21" t="s">
        <v>308</v>
      </c>
      <c r="G22" s="21" t="s">
        <v>309</v>
      </c>
      <c r="H22" s="21"/>
      <c r="I22" s="230"/>
    </row>
    <row r="23" spans="1:9" ht="34.15" customHeight="1">
      <c r="A23" s="207" t="s">
        <v>310</v>
      </c>
      <c r="B23" s="191"/>
      <c r="C23" s="191"/>
      <c r="D23" s="192"/>
      <c r="E23" s="102">
        <v>10</v>
      </c>
      <c r="F23" s="18" t="s">
        <v>134</v>
      </c>
      <c r="G23" s="18" t="s">
        <v>130</v>
      </c>
      <c r="H23" s="18" t="s">
        <v>130</v>
      </c>
      <c r="I23" s="229">
        <f t="shared" si="2"/>
        <v>0</v>
      </c>
    </row>
    <row r="24" spans="1:9" ht="42" customHeight="1">
      <c r="A24" s="167" t="s">
        <v>51</v>
      </c>
      <c r="B24" s="168"/>
      <c r="C24" s="168"/>
      <c r="D24" s="168"/>
      <c r="E24" s="169"/>
      <c r="F24" s="21"/>
      <c r="G24" s="21" t="s">
        <v>311</v>
      </c>
      <c r="H24" s="21"/>
      <c r="I24" s="230"/>
    </row>
    <row r="25" spans="1:9" ht="29.45" customHeight="1">
      <c r="A25" s="173" t="s">
        <v>312</v>
      </c>
      <c r="B25" s="173"/>
      <c r="C25" s="173"/>
      <c r="D25" s="173"/>
      <c r="E25" s="7">
        <v>10</v>
      </c>
      <c r="F25" s="18" t="s">
        <v>129</v>
      </c>
      <c r="G25" s="18" t="s">
        <v>130</v>
      </c>
      <c r="H25" s="18" t="s">
        <v>130</v>
      </c>
      <c r="I25" s="229">
        <f t="shared" si="2"/>
        <v>0</v>
      </c>
    </row>
    <row r="26" spans="1:9" ht="42.6" customHeight="1">
      <c r="A26" s="167" t="s">
        <v>53</v>
      </c>
      <c r="B26" s="168"/>
      <c r="C26" s="168"/>
      <c r="D26" s="168"/>
      <c r="E26" s="169"/>
      <c r="F26" s="21" t="s">
        <v>313</v>
      </c>
      <c r="G26" s="21" t="s">
        <v>314</v>
      </c>
      <c r="H26" s="21"/>
      <c r="I26" s="230"/>
    </row>
    <row r="27" spans="1:9" ht="28.15" customHeight="1">
      <c r="A27" s="173" t="s">
        <v>315</v>
      </c>
      <c r="B27" s="173"/>
      <c r="C27" s="173"/>
      <c r="D27" s="173"/>
      <c r="E27" s="7">
        <v>10</v>
      </c>
      <c r="F27" s="18" t="s">
        <v>35</v>
      </c>
      <c r="G27" s="18" t="s">
        <v>130</v>
      </c>
      <c r="H27" s="18" t="s">
        <v>130</v>
      </c>
      <c r="I27" s="229">
        <f t="shared" si="2"/>
        <v>4</v>
      </c>
    </row>
    <row r="28" spans="1:9" ht="42" customHeight="1">
      <c r="A28" s="167" t="s">
        <v>55</v>
      </c>
      <c r="B28" s="168"/>
      <c r="C28" s="168"/>
      <c r="D28" s="168"/>
      <c r="E28" s="169"/>
      <c r="F28" s="21" t="s">
        <v>316</v>
      </c>
      <c r="G28" s="21"/>
      <c r="H28" s="21"/>
      <c r="I28" s="230"/>
    </row>
    <row r="29" spans="1:9" ht="31.15" customHeight="1">
      <c r="A29" s="223" t="s">
        <v>317</v>
      </c>
      <c r="B29" s="223"/>
      <c r="C29" s="223"/>
      <c r="D29" s="224"/>
      <c r="E29" s="109">
        <v>10</v>
      </c>
      <c r="F29" s="18" t="s">
        <v>134</v>
      </c>
      <c r="G29" s="18" t="s">
        <v>130</v>
      </c>
      <c r="H29" s="18" t="s">
        <v>35</v>
      </c>
      <c r="I29" s="229">
        <f t="shared" si="2"/>
        <v>3</v>
      </c>
    </row>
    <row r="30" spans="1:9" ht="42" customHeight="1">
      <c r="A30" s="167" t="s">
        <v>59</v>
      </c>
      <c r="B30" s="168"/>
      <c r="C30" s="168"/>
      <c r="D30" s="168"/>
      <c r="E30" s="169"/>
      <c r="F30" s="21"/>
      <c r="G30" s="21"/>
      <c r="H30" s="21" t="s">
        <v>318</v>
      </c>
      <c r="I30" s="230"/>
    </row>
    <row r="31" spans="1:9" ht="34.15" customHeight="1">
      <c r="A31" s="173" t="s">
        <v>319</v>
      </c>
      <c r="B31" s="199"/>
      <c r="C31" s="199"/>
      <c r="D31" s="199"/>
      <c r="E31" s="7">
        <v>10</v>
      </c>
      <c r="F31" s="18" t="s">
        <v>134</v>
      </c>
      <c r="G31" s="18" t="s">
        <v>130</v>
      </c>
      <c r="H31" s="18" t="s">
        <v>35</v>
      </c>
      <c r="I31" s="229">
        <f t="shared" si="2"/>
        <v>3</v>
      </c>
    </row>
    <row r="32" spans="1:9" ht="42" customHeight="1">
      <c r="A32" s="167" t="s">
        <v>61</v>
      </c>
      <c r="B32" s="168"/>
      <c r="C32" s="168"/>
      <c r="D32" s="168"/>
      <c r="E32" s="169"/>
      <c r="F32" s="21"/>
      <c r="G32" s="21"/>
      <c r="H32" s="21" t="s">
        <v>320</v>
      </c>
      <c r="I32" s="230"/>
    </row>
    <row r="33" spans="1:9" ht="99.6" customHeight="1">
      <c r="A33" s="173" t="s">
        <v>321</v>
      </c>
      <c r="B33" s="199"/>
      <c r="C33" s="199"/>
      <c r="D33" s="199"/>
      <c r="E33" s="7">
        <v>10</v>
      </c>
      <c r="F33" s="18" t="s">
        <v>129</v>
      </c>
      <c r="G33" s="18" t="s">
        <v>130</v>
      </c>
      <c r="H33" s="18" t="s">
        <v>129</v>
      </c>
      <c r="I33" s="229">
        <f t="shared" si="2"/>
        <v>0</v>
      </c>
    </row>
    <row r="34" spans="1:9" ht="42" customHeight="1">
      <c r="A34" s="167" t="s">
        <v>63</v>
      </c>
      <c r="B34" s="168"/>
      <c r="C34" s="168"/>
      <c r="D34" s="168"/>
      <c r="E34" s="169"/>
      <c r="F34" s="21" t="s">
        <v>322</v>
      </c>
      <c r="G34" s="21"/>
      <c r="H34" s="21" t="s">
        <v>323</v>
      </c>
      <c r="I34" s="230"/>
    </row>
    <row r="35" spans="1:9" ht="72" customHeight="1">
      <c r="A35" s="193" t="s">
        <v>324</v>
      </c>
      <c r="B35" s="161"/>
      <c r="C35" s="161"/>
      <c r="D35" s="194"/>
      <c r="E35" s="7">
        <v>10</v>
      </c>
      <c r="F35" s="18" t="s">
        <v>134</v>
      </c>
      <c r="G35" s="18" t="s">
        <v>130</v>
      </c>
      <c r="H35" s="18" t="s">
        <v>130</v>
      </c>
      <c r="I35" s="229">
        <f t="shared" si="2"/>
        <v>0</v>
      </c>
    </row>
    <row r="36" spans="1:9" ht="42" customHeight="1">
      <c r="A36" s="167" t="s">
        <v>65</v>
      </c>
      <c r="B36" s="168"/>
      <c r="C36" s="168"/>
      <c r="D36" s="168"/>
      <c r="E36" s="169"/>
      <c r="F36" s="21"/>
      <c r="G36" s="21"/>
      <c r="H36" s="21"/>
      <c r="I36" s="230"/>
    </row>
    <row r="37" spans="1:9" ht="59.45" customHeight="1">
      <c r="A37" s="186" t="s">
        <v>325</v>
      </c>
      <c r="B37" s="186"/>
      <c r="C37" s="186"/>
      <c r="D37" s="187"/>
      <c r="E37" s="7">
        <v>10</v>
      </c>
      <c r="F37" s="18" t="s">
        <v>35</v>
      </c>
      <c r="G37" s="18" t="s">
        <v>35</v>
      </c>
      <c r="H37" s="18" t="s">
        <v>35</v>
      </c>
      <c r="I37" s="229">
        <f t="shared" si="2"/>
        <v>10</v>
      </c>
    </row>
    <row r="38" spans="1:9" ht="39.6" customHeight="1">
      <c r="A38" s="167" t="s">
        <v>67</v>
      </c>
      <c r="B38" s="168"/>
      <c r="C38" s="168"/>
      <c r="D38" s="168"/>
      <c r="E38" s="169"/>
      <c r="F38" s="21" t="s">
        <v>326</v>
      </c>
      <c r="G38" s="21" t="s">
        <v>326</v>
      </c>
      <c r="H38" s="21" t="s">
        <v>326</v>
      </c>
      <c r="I38" s="230"/>
    </row>
    <row r="39" spans="1:9" ht="91.15" customHeight="1">
      <c r="A39" s="186" t="s">
        <v>327</v>
      </c>
      <c r="B39" s="186"/>
      <c r="C39" s="186"/>
      <c r="D39" s="187"/>
      <c r="E39" s="7">
        <v>10</v>
      </c>
      <c r="F39" s="18" t="s">
        <v>35</v>
      </c>
      <c r="G39" s="18" t="s">
        <v>35</v>
      </c>
      <c r="H39" s="18" t="s">
        <v>35</v>
      </c>
      <c r="I39" s="229">
        <f>IF(F39="N/A",4)+IF(G39="N/A",3)+IF(H39="N/A",3)+SUM(F39:H39)</f>
        <v>10</v>
      </c>
    </row>
    <row r="40" spans="1:9" ht="42" customHeight="1">
      <c r="A40" s="167" t="s">
        <v>99</v>
      </c>
      <c r="B40" s="168"/>
      <c r="C40" s="168"/>
      <c r="D40" s="168"/>
      <c r="E40" s="169"/>
      <c r="F40" s="21" t="s">
        <v>328</v>
      </c>
      <c r="G40" s="21" t="s">
        <v>328</v>
      </c>
      <c r="H40" s="21" t="s">
        <v>328</v>
      </c>
      <c r="I40" s="230"/>
    </row>
    <row r="41" spans="1:9" ht="25.15" customHeight="1">
      <c r="A41" s="156"/>
      <c r="B41" s="156"/>
      <c r="C41" s="156"/>
      <c r="D41" s="156"/>
      <c r="E41" s="156"/>
      <c r="F41" s="156"/>
      <c r="G41" s="156"/>
      <c r="H41" s="156"/>
    </row>
    <row r="42" spans="1:9" ht="42" customHeight="1">
      <c r="A42" s="143" t="s">
        <v>56</v>
      </c>
      <c r="B42" s="143"/>
      <c r="C42" s="143"/>
      <c r="D42" s="143"/>
      <c r="E42" s="101" t="s">
        <v>31</v>
      </c>
      <c r="F42" s="200" t="s">
        <v>329</v>
      </c>
      <c r="G42" s="201"/>
      <c r="H42" s="201"/>
      <c r="I42" s="112" t="s">
        <v>33</v>
      </c>
    </row>
    <row r="43" spans="1:9" ht="100.15" customHeight="1">
      <c r="A43" s="161" t="s">
        <v>330</v>
      </c>
      <c r="B43" s="161"/>
      <c r="C43" s="161"/>
      <c r="D43" s="161"/>
      <c r="E43" s="103">
        <v>10</v>
      </c>
      <c r="F43" s="178"/>
      <c r="G43" s="211"/>
      <c r="H43" s="179"/>
      <c r="I43" s="232">
        <f>IF(F43="N/A",10)+SUM(F43)</f>
        <v>0</v>
      </c>
    </row>
    <row r="44" spans="1:9" ht="42" customHeight="1">
      <c r="A44" s="167" t="s">
        <v>101</v>
      </c>
      <c r="B44" s="168"/>
      <c r="C44" s="168"/>
      <c r="D44" s="168"/>
      <c r="E44" s="169"/>
      <c r="F44" s="170"/>
      <c r="G44" s="171"/>
      <c r="H44" s="172"/>
      <c r="I44" s="233"/>
    </row>
    <row r="45" spans="1:9" ht="88.15" customHeight="1">
      <c r="A45" s="161" t="s">
        <v>331</v>
      </c>
      <c r="B45" s="161"/>
      <c r="C45" s="161"/>
      <c r="D45" s="161"/>
      <c r="E45" s="103">
        <v>10</v>
      </c>
      <c r="F45" s="178"/>
      <c r="G45" s="211"/>
      <c r="H45" s="179"/>
      <c r="I45" s="232">
        <f t="shared" ref="I45" si="3">IF(F45="N/A",10)+SUM(F45)</f>
        <v>0</v>
      </c>
    </row>
    <row r="46" spans="1:9" ht="42" customHeight="1">
      <c r="A46" s="167" t="s">
        <v>103</v>
      </c>
      <c r="B46" s="168"/>
      <c r="C46" s="168"/>
      <c r="D46" s="168"/>
      <c r="E46" s="169"/>
      <c r="F46" s="170"/>
      <c r="G46" s="171"/>
      <c r="H46" s="172"/>
      <c r="I46" s="233"/>
    </row>
    <row r="47" spans="1:9" ht="46.9" customHeight="1">
      <c r="A47" s="161" t="s">
        <v>332</v>
      </c>
      <c r="B47" s="161"/>
      <c r="C47" s="161"/>
      <c r="D47" s="161"/>
      <c r="E47" s="103">
        <v>10</v>
      </c>
      <c r="F47" s="178"/>
      <c r="G47" s="211"/>
      <c r="H47" s="179"/>
      <c r="I47" s="232">
        <f t="shared" ref="I47:I49" si="4">IF(F47="N/A",10)+SUM(F47)</f>
        <v>0</v>
      </c>
    </row>
    <row r="48" spans="1:9" ht="42" customHeight="1">
      <c r="A48" s="167" t="s">
        <v>105</v>
      </c>
      <c r="B48" s="168"/>
      <c r="C48" s="168"/>
      <c r="D48" s="168"/>
      <c r="E48" s="169"/>
      <c r="F48" s="170"/>
      <c r="G48" s="171"/>
      <c r="H48" s="172"/>
      <c r="I48" s="233"/>
    </row>
    <row r="49" spans="1:10" ht="102" customHeight="1">
      <c r="A49" s="173" t="s">
        <v>333</v>
      </c>
      <c r="B49" s="173"/>
      <c r="C49" s="173"/>
      <c r="D49" s="173"/>
      <c r="E49" s="104">
        <v>10</v>
      </c>
      <c r="F49" s="178"/>
      <c r="G49" s="211"/>
      <c r="H49" s="179"/>
      <c r="I49" s="232">
        <f t="shared" si="4"/>
        <v>0</v>
      </c>
    </row>
    <row r="50" spans="1:10" ht="42" customHeight="1">
      <c r="A50" s="167" t="s">
        <v>107</v>
      </c>
      <c r="B50" s="168"/>
      <c r="C50" s="168"/>
      <c r="D50" s="168"/>
      <c r="E50" s="169"/>
      <c r="F50" s="170"/>
      <c r="G50" s="171"/>
      <c r="H50" s="172"/>
      <c r="I50" s="233"/>
    </row>
    <row r="51" spans="1:10">
      <c r="A51" s="174" t="s">
        <v>334</v>
      </c>
      <c r="B51" s="174"/>
      <c r="C51" s="174"/>
      <c r="D51" s="174"/>
      <c r="E51" s="113">
        <f>E9+E11+E13+E15+E17+E19+E21+E23+E25+E27+E29+E31+E33+E35+E37+E39+E43+E45+E47+E49</f>
        <v>200</v>
      </c>
      <c r="H51" s="63" t="s">
        <v>69</v>
      </c>
      <c r="I51" s="116">
        <f>I9+I11+I13+I15+I17+I19+I21+I23+I25+I27+I29+I31+I33+I35+I37+I39+I43+I45+I47+I49</f>
        <v>30</v>
      </c>
    </row>
    <row r="52" spans="1:10" ht="34.15" customHeight="1">
      <c r="A52" s="17"/>
      <c r="B52" s="17"/>
      <c r="C52" s="17"/>
      <c r="D52" s="17"/>
      <c r="J52" s="30"/>
    </row>
    <row r="53" spans="1:10" ht="34.9" customHeight="1">
      <c r="A53" s="5"/>
      <c r="B53" s="5"/>
      <c r="C53" s="5"/>
      <c r="D53" s="107" t="s">
        <v>70</v>
      </c>
      <c r="E53" s="212"/>
      <c r="F53" s="213"/>
      <c r="G53" s="117"/>
      <c r="H53" s="117"/>
      <c r="I53" s="231" t="s">
        <v>71</v>
      </c>
    </row>
    <row r="54" spans="1:10" ht="32.450000000000003" customHeight="1">
      <c r="A54" s="5"/>
      <c r="B54" s="5"/>
      <c r="C54" s="5"/>
      <c r="D54" s="107" t="s">
        <v>72</v>
      </c>
      <c r="E54" s="162"/>
      <c r="F54" s="164"/>
      <c r="G54" s="103"/>
      <c r="H54" s="103"/>
      <c r="I54" s="231"/>
    </row>
    <row r="55" spans="1:10" ht="28.15" customHeight="1">
      <c r="A55" s="214" t="s">
        <v>73</v>
      </c>
      <c r="B55" s="214"/>
      <c r="C55" s="214"/>
      <c r="D55" s="214"/>
      <c r="E55" s="215" t="s">
        <v>74</v>
      </c>
      <c r="F55" s="216"/>
      <c r="G55" s="216"/>
      <c r="H55" s="217"/>
      <c r="I55" s="231"/>
    </row>
    <row r="56" spans="1:10" ht="32.450000000000003" customHeight="1">
      <c r="A56" s="173" t="s">
        <v>335</v>
      </c>
      <c r="B56" s="173"/>
      <c r="C56" s="173"/>
      <c r="D56" s="173"/>
      <c r="E56" s="162"/>
      <c r="F56" s="164"/>
      <c r="G56" s="1"/>
      <c r="H56" s="7"/>
      <c r="I56" s="22"/>
    </row>
    <row r="57" spans="1:10" ht="28.15" customHeight="1">
      <c r="A57" s="173" t="s">
        <v>336</v>
      </c>
      <c r="B57" s="173"/>
      <c r="C57" s="173"/>
      <c r="D57" s="173"/>
      <c r="E57" s="162"/>
      <c r="F57" s="164"/>
      <c r="G57" s="1"/>
      <c r="H57" s="7"/>
      <c r="I57" s="22"/>
    </row>
    <row r="58" spans="1:10" ht="28.9" customHeight="1">
      <c r="A58" s="173" t="s">
        <v>337</v>
      </c>
      <c r="B58" s="173"/>
      <c r="C58" s="173"/>
      <c r="D58" s="173"/>
      <c r="E58" s="162"/>
      <c r="F58" s="164"/>
      <c r="G58" s="1"/>
      <c r="H58" s="7"/>
      <c r="I58" s="22"/>
    </row>
    <row r="59" spans="1:10" ht="28.15" customHeight="1">
      <c r="A59" s="173" t="s">
        <v>338</v>
      </c>
      <c r="B59" s="173"/>
      <c r="C59" s="173"/>
      <c r="D59" s="173"/>
      <c r="E59" s="162"/>
      <c r="F59" s="164"/>
      <c r="G59" s="1"/>
      <c r="H59" s="1"/>
      <c r="I59" s="22"/>
    </row>
    <row r="60" spans="1:10" ht="18" customHeight="1">
      <c r="A60" s="193" t="s">
        <v>339</v>
      </c>
      <c r="B60" s="161"/>
      <c r="C60" s="161"/>
      <c r="D60" s="194"/>
      <c r="E60" s="162"/>
      <c r="F60" s="164"/>
      <c r="G60" s="1"/>
      <c r="H60" s="1"/>
      <c r="I60" s="22"/>
    </row>
    <row r="61" spans="1:10">
      <c r="A61" s="193" t="s">
        <v>340</v>
      </c>
      <c r="B61" s="161"/>
      <c r="C61" s="161"/>
      <c r="D61" s="194"/>
      <c r="E61" s="225"/>
      <c r="F61" s="226"/>
      <c r="G61" s="1"/>
      <c r="H61" s="1"/>
      <c r="I61" s="22"/>
    </row>
    <row r="62" spans="1:10" ht="28.15" customHeight="1">
      <c r="A62" s="199" t="s">
        <v>341</v>
      </c>
      <c r="B62" s="173"/>
      <c r="C62" s="173"/>
      <c r="D62" s="173"/>
      <c r="E62" s="162"/>
      <c r="F62" s="164"/>
      <c r="G62" s="1"/>
      <c r="H62" s="1"/>
      <c r="I62" s="22"/>
    </row>
    <row r="63" spans="1:10" ht="14.45">
      <c r="A63" s="6"/>
      <c r="B63" s="6"/>
      <c r="C63" s="6"/>
      <c r="D63" s="6"/>
      <c r="E63" s="8"/>
      <c r="F63" s="6"/>
      <c r="G63" s="6"/>
      <c r="H63" s="6"/>
    </row>
    <row r="64" spans="1:10" ht="14.45">
      <c r="A64" s="6"/>
      <c r="B64" s="6"/>
      <c r="C64" s="6"/>
      <c r="D64" s="6"/>
      <c r="E64" s="8"/>
      <c r="F64" s="6"/>
      <c r="G64" s="6"/>
      <c r="H64" s="6"/>
    </row>
    <row r="65" spans="1:8" ht="14.45">
      <c r="A65" s="6"/>
      <c r="B65" s="6"/>
      <c r="C65" s="6"/>
      <c r="D65" s="6"/>
      <c r="E65" s="8"/>
      <c r="F65" s="6"/>
      <c r="G65" s="6"/>
      <c r="H65" s="6"/>
    </row>
    <row r="66" spans="1:8" ht="14.45">
      <c r="A66" s="6"/>
      <c r="B66" s="6"/>
      <c r="C66" s="6"/>
      <c r="D66" s="6"/>
      <c r="E66" s="8"/>
      <c r="F66" s="6"/>
      <c r="G66" s="6"/>
      <c r="H66" s="6"/>
    </row>
  </sheetData>
  <sheetProtection algorithmName="SHA-512" hashValue="yOlAuwfz3VOD91TL0pAXEOAD94X6g/23Dot6MZm8xFCniHhW4VAAyjVKBT7Av04IkSeooN9v3IPM7gWmw/sRgg==" saltValue="hXBKCjDOfCHOZQYNJiM17w==" spinCount="100000" sheet="1" objects="1" scenarios="1"/>
  <protectedRanges>
    <protectedRange sqref="B1" name="Range7"/>
    <protectedRange sqref="H1" name="Range6"/>
    <protectedRange sqref="F4:H7" name="Range1"/>
    <protectedRange sqref="F9:H40" name="Range2"/>
    <protectedRange sqref="F43:H50" name="Range3"/>
    <protectedRange sqref="E53:H54" name="Range4"/>
    <protectedRange sqref="E56:I62" name="Range5"/>
  </protectedRanges>
  <mergeCells count="95">
    <mergeCell ref="I13:I14"/>
    <mergeCell ref="A14:E14"/>
    <mergeCell ref="A51:D51"/>
    <mergeCell ref="I37:I38"/>
    <mergeCell ref="I39:I40"/>
    <mergeCell ref="I43:I44"/>
    <mergeCell ref="I45:I46"/>
    <mergeCell ref="I47:I48"/>
    <mergeCell ref="I49:I50"/>
    <mergeCell ref="A49:D49"/>
    <mergeCell ref="F49:H49"/>
    <mergeCell ref="A50:E50"/>
    <mergeCell ref="F50:H50"/>
    <mergeCell ref="A45:D45"/>
    <mergeCell ref="F45:H45"/>
    <mergeCell ref="A46:E46"/>
    <mergeCell ref="F46:H46"/>
    <mergeCell ref="A47:D47"/>
    <mergeCell ref="I25:I26"/>
    <mergeCell ref="I27:I28"/>
    <mergeCell ref="I29:I30"/>
    <mergeCell ref="I31:I32"/>
    <mergeCell ref="I33:I34"/>
    <mergeCell ref="I35:I36"/>
    <mergeCell ref="A42:D42"/>
    <mergeCell ref="F42:H42"/>
    <mergeCell ref="A43:D43"/>
    <mergeCell ref="F43:H43"/>
    <mergeCell ref="A44:E44"/>
    <mergeCell ref="F44:H44"/>
    <mergeCell ref="A35:D35"/>
    <mergeCell ref="A36:E36"/>
    <mergeCell ref="A61:D61"/>
    <mergeCell ref="E61:F61"/>
    <mergeCell ref="I9:I10"/>
    <mergeCell ref="I11:I12"/>
    <mergeCell ref="I15:I16"/>
    <mergeCell ref="I17:I18"/>
    <mergeCell ref="I19:I20"/>
    <mergeCell ref="I21:I22"/>
    <mergeCell ref="I23:I24"/>
    <mergeCell ref="A59:D59"/>
    <mergeCell ref="E59:F59"/>
    <mergeCell ref="I53:I55"/>
    <mergeCell ref="F47:H47"/>
    <mergeCell ref="A48:E48"/>
    <mergeCell ref="F48:H48"/>
    <mergeCell ref="A41:H41"/>
    <mergeCell ref="A62:D62"/>
    <mergeCell ref="E62:F62"/>
    <mergeCell ref="A39:D39"/>
    <mergeCell ref="A40:E40"/>
    <mergeCell ref="A60:D60"/>
    <mergeCell ref="E60:F60"/>
    <mergeCell ref="A56:D56"/>
    <mergeCell ref="E56:F56"/>
    <mergeCell ref="A57:D57"/>
    <mergeCell ref="E57:F57"/>
    <mergeCell ref="A58:D58"/>
    <mergeCell ref="E58:F58"/>
    <mergeCell ref="E53:F53"/>
    <mergeCell ref="E54:F54"/>
    <mergeCell ref="A55:D55"/>
    <mergeCell ref="E55:H55"/>
    <mergeCell ref="A37:D37"/>
    <mergeCell ref="A38:E38"/>
    <mergeCell ref="A31:D31"/>
    <mergeCell ref="A32:E32"/>
    <mergeCell ref="A33:D33"/>
    <mergeCell ref="A34:E34"/>
    <mergeCell ref="A27:D27"/>
    <mergeCell ref="A28:E28"/>
    <mergeCell ref="A29:D29"/>
    <mergeCell ref="A30:E30"/>
    <mergeCell ref="A23:D23"/>
    <mergeCell ref="A24:E24"/>
    <mergeCell ref="A25:D25"/>
    <mergeCell ref="A26:E26"/>
    <mergeCell ref="A19:D19"/>
    <mergeCell ref="A20:E20"/>
    <mergeCell ref="A21:D21"/>
    <mergeCell ref="A22:E22"/>
    <mergeCell ref="A15:D15"/>
    <mergeCell ref="A16:E16"/>
    <mergeCell ref="A17:D17"/>
    <mergeCell ref="A18:E18"/>
    <mergeCell ref="B1:E1"/>
    <mergeCell ref="A4:D7"/>
    <mergeCell ref="A8:D8"/>
    <mergeCell ref="A13:D13"/>
    <mergeCell ref="F8:H8"/>
    <mergeCell ref="A9:D9"/>
    <mergeCell ref="A10:E10"/>
    <mergeCell ref="A11:D11"/>
    <mergeCell ref="A12:E12"/>
  </mergeCells>
  <conditionalFormatting sqref="I56:I62">
    <cfRule type="cellIs" dxfId="0" priority="1" operator="equal">
      <formula>"Yes"</formula>
    </cfRule>
  </conditionalFormatting>
  <printOptions horizontalCentered="1"/>
  <pageMargins left="0.25" right="0.25" top="0.5" bottom="0.3" header="0.25" footer="0.2"/>
  <pageSetup scale="88" fitToHeight="0" orientation="landscape" r:id="rId1"/>
  <headerFooter differentFirst="1">
    <oddFooter>Page &amp;P of &amp;N</oddFooter>
  </headerFooter>
  <extLst>
    <ext xmlns:x14="http://schemas.microsoft.com/office/spreadsheetml/2009/9/main" uri="{CCE6A557-97BC-4b89-ADB6-D9C93CAAB3DF}">
      <x14:dataValidations xmlns:xm="http://schemas.microsoft.com/office/excel/2006/main" count="6">
        <x14:dataValidation type="list" allowBlank="1" showInputMessage="1" showErrorMessage="1" xr:uid="{B4A984FD-28D2-4058-9C3E-D1FAE783EA66}">
          <x14:formula1>
            <xm:f>Data!$I$2:$I$5</xm:f>
          </x14:formula1>
          <xm:sqref>F43:H43 F45:H45 F47:H47 F49:H49</xm:sqref>
        </x14:dataValidation>
        <x14:dataValidation type="list" allowBlank="1" showInputMessage="1" showErrorMessage="1" xr:uid="{A55830C6-F81A-40CC-B1D4-971850D3E4E7}">
          <x14:formula1>
            <xm:f>Data!$G$2:$G$5</xm:f>
          </x14:formula1>
          <xm:sqref>G17:H17 G21:H21 G11:H11 G37:H37 G35:H35 G33:H33 G31:H31 G39:H39 G27:H27 G25:H25 G19:H19 G15:H15 G23:H23 G29:H29 G9:H9 G13:H13</xm:sqref>
        </x14:dataValidation>
        <x14:dataValidation type="list" allowBlank="1" showInputMessage="1" showErrorMessage="1" xr:uid="{0E27E19C-AB7F-4D7D-A915-4BD9A5F65A12}">
          <x14:formula1>
            <xm:f>Data!$E$2:$E$5</xm:f>
          </x14:formula1>
          <xm:sqref>F33 F31 F27 F39 F17 F37 F21 F35 F25 F29 F19 F23 F15 F9 F11 F13</xm:sqref>
        </x14:dataValidation>
        <x14:dataValidation type="list" allowBlank="1" showInputMessage="1" showErrorMessage="1" xr:uid="{09399633-6B55-42BF-B137-7851FC67D44D}">
          <x14:formula1>
            <xm:f>Data!$C$13:$C$17</xm:f>
          </x14:formula1>
          <xm:sqref>F6:H6</xm:sqref>
        </x14:dataValidation>
        <x14:dataValidation type="list" allowBlank="1" showInputMessage="1" showErrorMessage="1" xr:uid="{FA7576A3-B152-459C-B9E8-ADBF621D6C4C}">
          <x14:formula1>
            <xm:f>Data!$K$2:$K$4</xm:f>
          </x14:formula1>
          <xm:sqref>I56:I62</xm:sqref>
        </x14:dataValidation>
        <x14:dataValidation type="list" allowBlank="1" showInputMessage="1" showErrorMessage="1" xr:uid="{3F554299-0295-4F90-9E8A-A1C48C31EC54}">
          <x14:formula1>
            <xm:f>Data!$A$13:$A$18</xm:f>
          </x14:formula1>
          <xm:sqref>F7:H7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812384cb-a50e-43db-9caf-5c3b6c9eb0f7">
      <UserInfo>
        <DisplayName/>
        <AccountId xsi:nil="true"/>
        <AccountType/>
      </UserInfo>
    </SharedWithUsers>
    <lcf76f155ced4ddcb4097134ff3c332f xmlns="ef933668-6965-47a8-8ce8-1d49a4b58b54">
      <Terms xmlns="http://schemas.microsoft.com/office/infopath/2007/PartnerControls"/>
    </lcf76f155ced4ddcb4097134ff3c332f>
    <DateandTime xmlns="ef933668-6965-47a8-8ce8-1d49a4b58b54">2025-12-29T19:11:39+00:00</DateandTime>
    <TaggedinAsana xmlns="ef933668-6965-47a8-8ce8-1d49a4b58b54">false</TaggedinAsana>
    <TaxCatchAll xmlns="812384cb-a50e-43db-9caf-5c3b6c9eb0f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FDB84CDD13E8046875609EB76848407" ma:contentTypeVersion="20" ma:contentTypeDescription="Create a new document." ma:contentTypeScope="" ma:versionID="6b96c1b090e2f274ccacd2bc858d5557">
  <xsd:schema xmlns:xsd="http://www.w3.org/2001/XMLSchema" xmlns:xs="http://www.w3.org/2001/XMLSchema" xmlns:p="http://schemas.microsoft.com/office/2006/metadata/properties" xmlns:ns2="812384cb-a50e-43db-9caf-5c3b6c9eb0f7" xmlns:ns3="ef933668-6965-47a8-8ce8-1d49a4b58b54" targetNamespace="http://schemas.microsoft.com/office/2006/metadata/properties" ma:root="true" ma:fieldsID="e732efb9179872b9c02cb008c38b178a" ns2:_="" ns3:_="">
    <xsd:import namespace="812384cb-a50e-43db-9caf-5c3b6c9eb0f7"/>
    <xsd:import namespace="ef933668-6965-47a8-8ce8-1d49a4b58b5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MediaServiceLocation" minOccurs="0"/>
                <xsd:element ref="ns3:TaggedinAsana" minOccurs="0"/>
                <xsd:element ref="ns3:DateandTime"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12384cb-a50e-43db-9caf-5c3b6c9eb0f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98e93058-a749-48b3-8e4e-22416480f6df}" ma:internalName="TaxCatchAll" ma:showField="CatchAllData" ma:web="812384cb-a50e-43db-9caf-5c3b6c9eb0f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f933668-6965-47a8-8ce8-1d49a4b58b5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TaggedinAsana" ma:index="21" nillable="true" ma:displayName="Tagged in Asana " ma:default="0" ma:description="Processed in Asana" ma:format="Dropdown" ma:internalName="TaggedinAsana">
      <xsd:simpleType>
        <xsd:restriction base="dms:Boolean"/>
      </xsd:simpleType>
    </xsd:element>
    <xsd:element name="DateandTime" ma:index="22" nillable="true" ma:displayName="Date and Time" ma:default="[today]" ma:format="DateTime" ma:internalName="DateandTime">
      <xsd:simpleType>
        <xsd:restriction base="dms:DateTime"/>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d2011363-7155-4edc-8305-15cce2d95d1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FAA31D-4265-4373-9407-766DC84F0347}"/>
</file>

<file path=customXml/itemProps2.xml><?xml version="1.0" encoding="utf-8"?>
<ds:datastoreItem xmlns:ds="http://schemas.openxmlformats.org/officeDocument/2006/customXml" ds:itemID="{D9568B76-47B4-4CC1-B3E9-D3390D3EB762}"/>
</file>

<file path=customXml/itemProps3.xml><?xml version="1.0" encoding="utf-8"?>
<ds:datastoreItem xmlns:ds="http://schemas.openxmlformats.org/officeDocument/2006/customXml" ds:itemID="{B9642E75-6205-495B-8176-06FAA81F522F}"/>
</file>

<file path=docProps/app.xml><?xml version="1.0" encoding="utf-8"?>
<Properties xmlns="http://schemas.openxmlformats.org/officeDocument/2006/extended-properties" xmlns:vt="http://schemas.openxmlformats.org/officeDocument/2006/docPropsVTypes">
  <Application>Microsoft Excel Online</Application>
  <Manager/>
  <Company>Alaska Air Group, Inc.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Lana Hauge</dc:creator>
  <cp:keywords/>
  <dc:description/>
  <cp:lastModifiedBy>Amy Abraham</cp:lastModifiedBy>
  <cp:revision/>
  <dcterms:created xsi:type="dcterms:W3CDTF">2021-12-09T16:39:08Z</dcterms:created>
  <dcterms:modified xsi:type="dcterms:W3CDTF">2025-02-17T22:35:20Z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0x0101003FDB84CDD13E8046875609EB76848407</vt:lpwstr>
  </property>
  <property fmtid="{D5CDD505-2E9C-101B-9397-08002B2CF9AE}" pid="3" name="MediaServiceImageTags">
    <vt:lpwstr/>
  </property>
  <property fmtid="{D5CDD505-2E9C-101B-9397-08002B2CF9AE}" pid="4" name="Order">
    <vt:r8>44549500</vt:r8>
  </property>
  <property fmtid="{D5CDD505-2E9C-101B-9397-08002B2CF9AE}" pid="5" name="xd_Signature">
    <vt:bool>false</vt:bool>
  </property>
  <property fmtid="{D5CDD505-2E9C-101B-9397-08002B2CF9AE}" pid="6" name="xd_ProgID">
    <vt:lpwstr/>
  </property>
  <property fmtid="{D5CDD505-2E9C-101B-9397-08002B2CF9AE}" pid="7" name="_SourceUrl">
    <vt:lpwstr/>
  </property>
  <property fmtid="{D5CDD505-2E9C-101B-9397-08002B2CF9AE}" pid="8" name="_SharedFileIndex">
    <vt:lpwstr/>
  </property>
  <property fmtid="{D5CDD505-2E9C-101B-9397-08002B2CF9AE}" pid="9" name="ComplianceAssetId">
    <vt:lpwstr/>
  </property>
  <property fmtid="{D5CDD505-2E9C-101B-9397-08002B2CF9AE}" pid="10" name="TemplateUrl">
    <vt:lpwstr/>
  </property>
  <property fmtid="{D5CDD505-2E9C-101B-9397-08002B2CF9AE}" pid="11" name="TaggedinAsana">
    <vt:bool>false</vt:bool>
  </property>
  <property fmtid="{D5CDD505-2E9C-101B-9397-08002B2CF9AE}" pid="12" name="_ExtendedDescription">
    <vt:lpwstr/>
  </property>
  <property fmtid="{D5CDD505-2E9C-101B-9397-08002B2CF9AE}" pid="13" name="TriggerFlowInfo">
    <vt:lpwstr/>
  </property>
</Properties>
</file>