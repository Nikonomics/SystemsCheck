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ascadiahcdirectory-my.sharepoint.com/personal/mmcdaniel_cascadiahc_com/Documents/Desktop/Alderwood/2025/Scorecards and Onsites 2025/"/>
    </mc:Choice>
  </mc:AlternateContent>
  <xr:revisionPtr revIDLastSave="0" documentId="8_{DE50EA67-96EE-46D2-97F8-C408FE0FD3FC}" xr6:coauthVersionLast="47" xr6:coauthVersionMax="47" xr10:uidLastSave="{00000000-0000-0000-0000-000000000000}"/>
  <bookViews>
    <workbookView xWindow="2304" yWindow="2304" windowWidth="17280" windowHeight="8880"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<sst xmlns="http://schemas.openxmlformats.org/spreadsheetml/2006/main" count="474" uniqueCount="316">
  <si>
    <t>KEV Score Cards Review</t>
  </si>
  <si>
    <t>Facility Name:</t>
  </si>
  <si>
    <t>Alderwood Park</t>
  </si>
  <si>
    <t>Review Period:</t>
  </si>
  <si>
    <t>July 2025</t>
  </si>
  <si>
    <t>Date of Completion:</t>
  </si>
  <si>
    <t>Audit Completed By:</t>
  </si>
  <si>
    <t>Meg McDaniel</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</si>
  <si>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</si>
  <si>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</si>
  <si>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</si>
  <si>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</si>
  <si>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</si>
  <si>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</si>
  <si>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</si>
  <si>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</si>
  <si>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</si>
  <si>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</si>
  <si>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</si>
  <si>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</si>
  <si>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</si>
  <si>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</si>
  <si>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</si>
  <si>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r>
      <t xml:space="preserve">Key Element Validation:                 </t>
    </r>
    <r>
      <rPr>
        <b/>
        <i/>
        <sz val="14"/>
        <color rgb="FF000000"/>
        <rFont val="Arial Narrow"/>
        <family val="2"/>
      </rPr>
      <t>Abuse &amp; Grievances</t>
    </r>
  </si>
  <si>
    <t>Resident Name:</t>
  </si>
  <si>
    <t>Graham, Jenna</t>
  </si>
  <si>
    <t>Mezo/Lee</t>
  </si>
  <si>
    <t>Pauline Rose</t>
  </si>
  <si>
    <t>Resident Selection:</t>
  </si>
  <si>
    <t>Risk Management</t>
  </si>
  <si>
    <t>Abuse Type:</t>
  </si>
  <si>
    <t>Neglect</t>
  </si>
  <si>
    <t>Res-to-Res</t>
  </si>
  <si>
    <t>Incident Description</t>
  </si>
  <si>
    <t>Elopement on 7/26</t>
  </si>
  <si>
    <t>on 7/28</t>
  </si>
  <si>
    <t>allegation r/t infection</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</si>
  <si>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</si>
  <si>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</si>
  <si>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</si>
  <si>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</si>
  <si>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</si>
  <si>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</si>
  <si>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t xml:space="preserve">Unable to review as the Grievance Log was not uploaded. I did share a couple of electronic versions of grievances logs for them to keep in a working file form and update there (to make it easier on them and not have to upload throughout the month). I did not send them until last week, but they still should have uploaded the old log that they were hand writing on and I didn't receive that.
</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</si>
  <si>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</si>
  <si>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N/A</t>
  </si>
  <si>
    <t>2) Comments:</t>
  </si>
  <si>
    <t>Nice job Tatyana!! It's always uploaded timely and well documented with follow up!!</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</si>
  <si>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</si>
  <si>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</si>
  <si>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t xml:space="preserve">Jenna Graham elopement was not reported to Clinical Resource. Unable to review the investigation packet because it wasn't uploaded into the folder. 
</t>
  </si>
  <si>
    <t>Res to Res with Greg Mezo and Fred Lee was not reported to Clinical Resource. Unable to review the investigation packet because it wasn't uploaded into the folder.</t>
  </si>
  <si>
    <t>The allegation of Pauline Rose was not reported to the Clinical Resource. Unable to review the investigation packet because it wasn't uploaded into the fodler on Teams.</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</si>
  <si>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</si>
  <si>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</si>
  <si>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</si>
  <si>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</si>
  <si>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</si>
  <si>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</si>
  <si>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</si>
  <si>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</si>
  <si>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</si>
  <si>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</si>
  <si>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</si>
  <si>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</si>
  <si>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</si>
  <si>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</si>
  <si>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</si>
  <si>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</si>
  <si>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</si>
  <si>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r>
      <t xml:space="preserve">Key Element Validation:                  </t>
    </r>
    <r>
      <rPr>
        <b/>
        <i/>
        <sz val="14"/>
        <color rgb="FF000000"/>
        <rFont val="Arial Narrow"/>
        <family val="2"/>
      </rPr>
      <t>Accidents &amp; Incidents</t>
    </r>
  </si>
  <si>
    <t>Irene Kavros</t>
  </si>
  <si>
    <t>Janet Sanders</t>
  </si>
  <si>
    <t>Roger Brandis</t>
  </si>
  <si>
    <t>Repeat Fall</t>
  </si>
  <si>
    <t>Fall</t>
  </si>
  <si>
    <t>Event Type:</t>
  </si>
  <si>
    <t>Falls on 7/8</t>
  </si>
  <si>
    <t>Fall on 7/12</t>
  </si>
  <si>
    <t>7/23 Fall</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</si>
  <si>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</si>
  <si>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</si>
  <si>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t>Resident had received MOM for not having a BM in 72 hrs. MOM and bisacodyl increase risk of falls because they cause loose bowels and a sudden need/urge to get to the restroom. Resident is able to take self to toilet independently and she had already had an incont. bowel epiosde earlier. Staff should have been more aware of risks and anticipated by implementing interventions, such as commode next to bed, offering frequent toileting, etc.</t>
  </si>
  <si>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</si>
  <si>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t>The Risk Management does not have a root cause analysis. The root cause was noted as being unsteadiness on feet and cerebral infarction, but that's not a root cause analysis. What was she trying to do, why was she on her knees facing the bed. The risk management also says that she was on her knees on the alarm mat but the alarm mat was not alarming. So we did not have our intervention in place and it didn't due it's job as intended (to alert staff when she puts weight on the mat so tha staff can respond before she attempts to get up). So essentially the care plan wasn't being followed. The summary does not address why the alarm was not working and this should have been a contributing factor. The intervention was different footwear, but what does that have to do with "unsteadiness on feet" and/or cerebral infarction. How is different footwear going to help prevent her from having falls because of her unsteadiness or cerebral infarction.</t>
  </si>
  <si>
    <t>The risk management says that resident had injuries r/t fall and that first aid was applied. However, the LN note on 7/13 @ 0002 that "no new injuries observed" - this LN did not appear to be aware (or communicated to) about Janet's injuries and evaluate them for progressively worsening. On 7/13 @ 1453, there is a note that states resident had a fall "in the morning" but there is no Risk Management and it's not on the log. It looks like she had one on the 12th and the 13th.</t>
  </si>
  <si>
    <t>Documentation in progress note states that provider and CNO notified. "Resident is his own responsible party". This does not matter. The regulations require that "all interested parties" be notified of any adverse event. If the resident does not want them notified, this must be specifically documented that resident requested family/next of kin/interested party NOT be notified. As the iniital intervention it was imiplemented that a TELS was placed to evaluate if the toilet was leaking. If this was on off hours or a weekend, this may take a while to have a solution and therefore could potentially not prevent further falls, esp if the resident is independent in taking themselves to the bathroom. Determining if the toilet is leaking could easily be done by nursing (for immediate identification and not have to wait for maintenance to see TELS) by drying the floor and then seeing if it was wet again a little later. Essentially, there was not an appropriate immeditate intervention implemented to prevent further falls.</t>
  </si>
  <si>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</si>
  <si>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t>There is no IDT review on the first business day following the incident to review the root cause analysis and ensure a correlating intervention was/is implemented and appears to be effective.</t>
  </si>
  <si>
    <t>There is no IDT review on the first business day following the incident to review the root cause analysis and ensure a correlating intervention was/is implemented and appears to be effective. There was no team discussion for an appropriate long term intervention and resident had another fall on 7/25.</t>
  </si>
  <si>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</si>
  <si>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</si>
  <si>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</si>
  <si>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</si>
  <si>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</si>
  <si>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</si>
  <si>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</si>
  <si>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</si>
  <si>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</si>
  <si>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meg mcdaniel</t>
  </si>
  <si>
    <r>
      <t xml:space="preserve">Key Element Validation:                           </t>
    </r>
    <r>
      <rPr>
        <b/>
        <i/>
        <sz val="14"/>
        <color rgb="FF000000"/>
        <rFont val="Arial Narrow"/>
        <family val="2"/>
      </rPr>
      <t>Infection Prevention &amp; Control</t>
    </r>
  </si>
  <si>
    <t>Douglas Kilmer</t>
  </si>
  <si>
    <t>Homer Andres</t>
  </si>
  <si>
    <t>Lowell Cooper</t>
  </si>
  <si>
    <t>New Admission</t>
  </si>
  <si>
    <t>EBP</t>
  </si>
  <si>
    <t>Precaution Type:</t>
  </si>
  <si>
    <t>Item Description</t>
  </si>
  <si>
    <t>wounds to right leg</t>
  </si>
  <si>
    <t>PICC and catheter</t>
  </si>
  <si>
    <t>catheter</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</si>
  <si>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</si>
  <si>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</si>
  <si>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Resident has signed the decline for immunizations. However, recommend attaching the risk and benefits associated with declining the immunizations. Currently, your consent just says "I understand" - needs to be clear of what education has been provided and what they are saying they understand.</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</si>
  <si>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</si>
  <si>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t>nursing progress note indicates that PPD was given on 6/18 in right forearm. However, the immunization tab is not updated with the induration results. Immunization tab shows that still awaiting to consent. I don't see documenation that the first one was read or the 2nd step administered.</t>
  </si>
  <si>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</si>
  <si>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Resident diagnosis in the medical diagnosis tab is necrotizing fascitisis. The order states that the wound vac is for cellulitis, the care plan says that he has diabetic ulcers. There are 3 different diagnosis for the wounds to his right leg, chart is not consistent.</t>
  </si>
  <si>
    <t>IV Abx orders are missing the infusion rate and there are no orders to change tubing.</t>
  </si>
  <si>
    <t>resident is on EBP r/t catheter. Orders for catheter do not indicate Dx for him to have the catheter. FYI - the task for the catheter has to document cc/mls each shift. Not necessary and we know this could get us in trouble if they are missing it. His MDS on 6/20/25 has errors in coding for the bowel and bladder section. He has an indwelling catheter (which is coded accurately) but then the incontinence is coded as a "3" for "always incontienent" when it should be coded as  "9" "not rated" due to the catheter. He does not have an appropriate Dx (for regulatory requiirements) to have a catheter - at least according to the MDS currenlty. But when I look at his H&amp;P, he has outflow obstruction, so obstructive uropathy should be his diagnosis in the chart and on his MDS and then it meets regulations and will not hit your quality measures. Your care plan also says "urinary retention" - by itself that is not enough, you need to add "urinary retention r/t obstruction uropoathy"</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</si>
  <si>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</si>
  <si>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</si>
  <si>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</si>
  <si>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</si>
  <si>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</si>
  <si>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t>East glucometer was missing calibrations on July 6, 7, 8, 13, and 14th when I was there.Center = missing calibration on the same days as East. West is missing calibration on 1, 2, 3, 10, 12, 13th and Swing is missing the same days as West.</t>
  </si>
  <si>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</si>
  <si>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</si>
  <si>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</si>
  <si>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</si>
  <si>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</si>
  <si>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</si>
  <si>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</si>
  <si>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</si>
  <si>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</si>
  <si>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</si>
  <si>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</si>
  <si>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</si>
  <si>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</si>
  <si>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</si>
  <si>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</si>
  <si>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</si>
  <si>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</si>
  <si>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</si>
  <si>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</si>
  <si>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</si>
  <si>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t>aa</t>
  </si>
  <si>
    <r>
      <t xml:space="preserve">Key Element Validation: </t>
    </r>
    <r>
      <rPr>
        <b/>
        <i/>
        <sz val="14"/>
        <color rgb="FF000000"/>
        <rFont val="Arial Narrow"/>
        <family val="2"/>
      </rPr>
      <t>Skin Integrity &amp; Wounds</t>
    </r>
  </si>
  <si>
    <t xml:space="preserve">Lyubov Krychun </t>
  </si>
  <si>
    <t>Frederick Lee</t>
  </si>
  <si>
    <t>James Post</t>
  </si>
  <si>
    <t>Admit with Wound</t>
  </si>
  <si>
    <t>In-House Acquisition</t>
  </si>
  <si>
    <t>Wound Status</t>
  </si>
  <si>
    <t>Deteriorating</t>
  </si>
  <si>
    <t>Improving</t>
  </si>
  <si>
    <t>Stalled</t>
  </si>
  <si>
    <t>Wound #2 - Terminal Ulcer US</t>
  </si>
  <si>
    <t>Wounds #1-#5</t>
  </si>
  <si>
    <t>MASD- IAD left buttick - 2 years</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</si>
  <si>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</si>
  <si>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</si>
  <si>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</si>
  <si>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</si>
  <si>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</si>
  <si>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POA</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</si>
  <si>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</si>
  <si>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t>Time frame of review over 2 years ago</t>
  </si>
  <si>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</si>
  <si>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Reviewed from most recent notes 7/31/25. The order entered on 8/1/25 is not complete. Does not include the instructions of what to clean wound with or the percentage of Dakins to use in the order entered in PCC</t>
  </si>
  <si>
    <t>Reviewed from most recent notes 7/31/25. Language is changed in the order . The order from excelled healing does not include cleaning with NS, and frequency if three times a week, order is entered for every other day . Order entered into PCC says bordered dressing instead of bordered gauze. The gauzee is specific and there are multiple kinds of bordered dressings of different types.</t>
  </si>
  <si>
    <t>Active Treatment order in pcc is from April and May order start dates. Rsd was evaluated by excelled healing in June. The order recommendation from EH for Left buttock IAD includes cleaning with soap and water, pat dry which is not reflected in current order.  Additionally unable to locate the prn order indicating that  lantiseptic is used prn after each incontienence episode. There is a care plan intervention for barrier cream prn incontinence but not specifically lanticeptic cream. There is also additional instruction r/t how to minimize friction and shearing- did not see in orders or care plan on how that was being communicated to staff. The excelled healing rec 6/17 does not have collegen ordered for the open wound bed as is reflected in current order prior to excelled healing viist.. As this is a wound that has been active for 2 years, would continue to have excelled wound  evaluate as some reviews indicate stalled.</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</si>
  <si>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</si>
  <si>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</si>
  <si>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r>
      <rPr>
        <b/>
        <sz val="10"/>
        <color rgb="FF000000"/>
        <rFont val="Arial Narrow"/>
        <family val="2"/>
      </rPr>
      <t xml:space="preserve">9) </t>
    </r>
    <r>
      <rPr>
        <sz val="10"/>
        <color rgb="FF000000"/>
        <rFont val="Arial Narrow"/>
        <family val="2"/>
      </rPr>
      <t>Is the resident and/or resident representative aware of current wound status?</t>
    </r>
  </si>
  <si>
    <t>There is a progress note on 7/14 that POA will be notified of wound deterioration. Was unable to find documentation after that time period that showed that was completed.</t>
  </si>
  <si>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</si>
  <si>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</si>
  <si>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</si>
  <si>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CP in place. FYI- Recommend further review to include in focus that is terminal ucler and review what the goal is for the healing of that ucler as likely will not be healing.</t>
  </si>
  <si>
    <t>FYI-Skin CP in place. Would include in Focus of skin care plan specifically MRSA related to IAD.</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</si>
  <si>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</si>
  <si>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Do not see evidience of this process</t>
  </si>
  <si>
    <t>Do not see evidence of this process</t>
  </si>
  <si>
    <t>MASD- IAD left buttock - 2 years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</si>
  <si>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</si>
  <si>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</si>
  <si>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</si>
  <si>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</si>
  <si>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</si>
  <si>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</si>
  <si>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</si>
  <si>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</si>
  <si>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</si>
  <si>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</si>
  <si>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</si>
  <si>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</si>
  <si>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</si>
  <si>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</si>
  <si>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</si>
  <si>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</si>
  <si>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</si>
  <si>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</si>
  <si>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</si>
  <si>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</si>
  <si>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</si>
  <si>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Select One:</t>
  </si>
  <si>
    <t>Admit Last 30 Days</t>
  </si>
  <si>
    <t>Yes</t>
  </si>
  <si>
    <t>Near Miss</t>
  </si>
  <si>
    <t>Change of Condition</t>
  </si>
  <si>
    <t>No</t>
  </si>
  <si>
    <t>Other</t>
  </si>
  <si>
    <t>ER Visit</t>
  </si>
  <si>
    <t>Resident Altercation</t>
  </si>
  <si>
    <t>Facility Name</t>
  </si>
  <si>
    <t>Safety/Entrapment</t>
  </si>
  <si>
    <t>Medication Error</t>
  </si>
  <si>
    <t>Review Period</t>
  </si>
  <si>
    <t>Smoking</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</si>
  <si>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</si>
  <si>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</si>
  <si>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</si>
  <si>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</si>
  <si>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</si>
  <si>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</si>
  <si>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</si>
  <si>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</si>
  <si>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</si>
  <si>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</si>
  <si>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</si>
  <si>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</si>
  <si>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Brookfield</t>
  </si>
  <si>
    <t>ALF</t>
  </si>
  <si>
    <t>Death</t>
  </si>
  <si>
    <t>May 2025</t>
  </si>
  <si>
    <t>Caldwell Care</t>
  </si>
  <si>
    <t>Home</t>
  </si>
  <si>
    <t>Emergent Transfer</t>
  </si>
  <si>
    <t>June 2025</t>
  </si>
  <si>
    <t>Canyon West</t>
  </si>
  <si>
    <t>Healed</t>
  </si>
  <si>
    <t>Hospital</t>
  </si>
  <si>
    <t>Planned Discharge</t>
  </si>
  <si>
    <t>Cascadia of Boise</t>
  </si>
  <si>
    <t>New Admit</t>
  </si>
  <si>
    <t>Mortuary</t>
  </si>
  <si>
    <t>August 2025</t>
  </si>
  <si>
    <t>Cascadia of Lewiston</t>
  </si>
  <si>
    <t>New</t>
  </si>
  <si>
    <t>Non-Pressure</t>
  </si>
  <si>
    <t>IP Precaution Type</t>
  </si>
  <si>
    <t>September 2025</t>
  </si>
  <si>
    <t>Cascadia of Nampa</t>
  </si>
  <si>
    <t>No Current Wound</t>
  </si>
  <si>
    <t>Retirement</t>
  </si>
  <si>
    <t xml:space="preserve">October 2025 </t>
  </si>
  <si>
    <t>Cherry Ridge</t>
  </si>
  <si>
    <t>Stable</t>
  </si>
  <si>
    <t>Abuse Event Type</t>
  </si>
  <si>
    <t>SNF</t>
  </si>
  <si>
    <t>November 2025</t>
  </si>
  <si>
    <t>Clarkston</t>
  </si>
  <si>
    <t>Prevention</t>
  </si>
  <si>
    <t>December 2025</t>
  </si>
  <si>
    <t>Clearwater</t>
  </si>
  <si>
    <t>Exploitation</t>
  </si>
  <si>
    <t>IP Resident Selection</t>
  </si>
  <si>
    <t>Standard</t>
  </si>
  <si>
    <t>Coeur d'Alene</t>
  </si>
  <si>
    <t>Abuse Resident Selection</t>
  </si>
  <si>
    <t>Mental</t>
  </si>
  <si>
    <t>TBP</t>
  </si>
  <si>
    <t>Colfax</t>
  </si>
  <si>
    <t>Misappropriation</t>
  </si>
  <si>
    <t>Active Infection</t>
  </si>
  <si>
    <t>Colville</t>
  </si>
  <si>
    <t>Grievances</t>
  </si>
  <si>
    <t>Colonized</t>
  </si>
  <si>
    <t>Creekside</t>
  </si>
  <si>
    <t>Physical</t>
  </si>
  <si>
    <t>Curry Village (ALF)</t>
  </si>
  <si>
    <t>Progress Note</t>
  </si>
  <si>
    <t>Curry Village (SNF)</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</si>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</sst>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8">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10" fontId="15" fillId="12" borderId="2" xfId="0" applyNumberFormat="1" applyFont="1" applyFill="1" applyBorder="1" applyAlignment="1" applyProtection="1">
      <alignment horizontal="center" vertical="center"/>
      <protection locked="0"/>
    </xf>
    <xf numFmtId="9" fontId="15" fillId="12" borderId="2" xfId="0" applyNumberFormat="1" applyFont="1" applyFill="1" applyBorder="1" applyProtection="1">
      <protection locked="0"/>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10" fontId="15" fillId="12" borderId="13" xfId="0" applyNumberFormat="1"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15" fontId="15" fillId="7" borderId="13" xfId="0" applyNumberFormat="1" applyFont="1" applyFill="1" applyBorder="1" applyAlignment="1" applyProtection="1">
      <alignment horizontal="center" vertical="center"/>
      <protection locked="0"/>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1" fillId="0" borderId="0" xfId="0" applyFont="1"/>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4" xfId="0" applyFont="1" applyBorder="1"/>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1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0" fontId="4" fillId="0" borderId="0" xfId="0" applyFont="1"/>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abSelected="1" topLeftCell="A16" workbookViewId="0">
      <selection activeCell="K18" sqref="K18"/>
    </sheetView>
  </sheetViews>
  <sheetFormatPr defaultRowHeight="14.4" x14ac:dyDescent="0.3"/>
  <cols>
    <col min="2" max="2" width="23.33203125" customWidth="1"/>
    <col min="3" max="3" width="22.6640625" customWidth="1"/>
    <col min="4" max="4" width="22" customWidth="1"/>
    <col min="5" max="5" width="23.33203125" customWidth="1"/>
  </cols>
  <sheetData>
    <row r="1" spans="1:7" ht="33" x14ac:dyDescent="0.6">
      <c r="A1" s="108" t="s">
        <v>0</v>
      </c>
      <c r="B1" s="108"/>
      <c r="C1" s="108"/>
      <c r="D1" s="108"/>
      <c r="E1" s="108"/>
      <c r="F1" s="108"/>
      <c r="G1" s="108"/>
    </row>
    <row r="2" spans="1:7" x14ac:dyDescent="0.3">
      <c r="A2" s="26"/>
      <c r="B2" s="27" t="s">
        <v>1</v>
      </c>
      <c r="C2" s="109" t="s">
        <v>2</v>
      </c>
      <c r="D2" s="110"/>
      <c r="E2" s="28"/>
      <c r="F2" s="111"/>
      <c r="G2" s="111"/>
    </row>
    <row r="3" spans="1:7" x14ac:dyDescent="0.3">
      <c r="A3" s="26"/>
      <c r="B3" s="29" t="s">
        <v>3</v>
      </c>
      <c r="C3" s="109" t="s">
        <v>4</v>
      </c>
      <c r="D3" s="110"/>
      <c r="E3" s="30"/>
      <c r="F3" s="111"/>
      <c r="G3" s="111"/>
    </row>
    <row r="4" spans="1:7" x14ac:dyDescent="0.3">
      <c r="A4" s="31"/>
      <c r="B4" s="29" t="s">
        <v>5</v>
      </c>
      <c r="C4" s="112">
        <v>45873</v>
      </c>
      <c r="D4" s="110"/>
      <c r="E4" s="30"/>
      <c r="F4" s="111"/>
      <c r="G4" s="111"/>
    </row>
    <row r="5" spans="1:7" x14ac:dyDescent="0.3">
      <c r="A5" s="31"/>
      <c r="B5" s="29" t="s">
        <v>6</v>
      </c>
      <c r="C5" s="109" t="s">
        <v>7</v>
      </c>
      <c r="D5" s="110"/>
      <c r="E5" s="30"/>
      <c r="F5" s="111"/>
      <c r="G5" s="111"/>
    </row>
    <row r="6" spans="1:7" x14ac:dyDescent="0.3">
      <c r="A6" s="32"/>
      <c r="B6" s="33"/>
      <c r="C6" s="34"/>
      <c r="D6" s="35"/>
      <c r="E6" s="34"/>
      <c r="F6" s="111"/>
      <c r="G6" s="111"/>
    </row>
    <row r="7" spans="1:7" x14ac:dyDescent="0.3">
      <c r="A7" s="36"/>
      <c r="B7" s="37" t="s">
        <v>8</v>
      </c>
      <c r="C7" s="38" t="s">
        <v>9</v>
      </c>
      <c r="D7" s="39" t="s">
        <v>10</v>
      </c>
      <c r="E7" s="40" t="s">
        <v>11</v>
      </c>
      <c r="F7" s="111"/>
      <c r="G7" s="111"/>
    </row>
    <row r="8" spans="1:7" x14ac:dyDescent="0.3">
      <c r="A8" s="41"/>
      <c r="B8" s="42" t="s">
        <v>12</v>
      </c>
      <c r="C8" s="43">
        <f>'Abuse &amp; Grievances'!E19</f>
        <v>50</v>
      </c>
      <c r="D8" s="44">
        <f>'Abuse &amp; Grievances'!I19</f>
        <v>30</v>
      </c>
      <c r="E8" s="45">
        <f>D8/C8</f>
        <v>0.6</v>
      </c>
      <c r="F8" s="111"/>
      <c r="G8" s="111"/>
    </row>
    <row r="9" spans="1:7" x14ac:dyDescent="0.3">
      <c r="A9" s="41"/>
      <c r="B9" s="46" t="s">
        <v>13</v>
      </c>
      <c r="C9" s="47">
        <f>'Accidents &amp; Incidents'!E21</f>
        <v>60</v>
      </c>
      <c r="D9" s="48">
        <f>'Accidents &amp; Incidents'!I21</f>
        <v>37</v>
      </c>
      <c r="E9" s="49">
        <f t="shared" ref="E9:E12" si="0">D9/C9</f>
        <v>0.6166666666666667</v>
      </c>
      <c r="F9" s="111"/>
      <c r="G9" s="111"/>
    </row>
    <row r="10" spans="1:7" ht="28.8" x14ac:dyDescent="0.3">
      <c r="A10" s="41"/>
      <c r="B10" s="42" t="s">
        <v>14</v>
      </c>
      <c r="C10" s="79">
        <f>'Infection Prevention &amp; Control'!E34</f>
        <v>130</v>
      </c>
      <c r="D10" s="44">
        <f>'Infection Prevention &amp; Control'!I34</f>
        <v>107</v>
      </c>
      <c r="E10" s="45">
        <f t="shared" si="0"/>
        <v>0.82307692307692304</v>
      </c>
      <c r="F10" s="111"/>
      <c r="G10" s="111"/>
    </row>
    <row r="11" spans="1:7" x14ac:dyDescent="0.3">
      <c r="A11" s="41"/>
      <c r="B11" s="50" t="s">
        <v>15</v>
      </c>
      <c r="C11" s="51">
        <f>'Skin Integrity &amp; Wounds'!E35</f>
        <v>170</v>
      </c>
      <c r="D11" s="52">
        <f>'Skin Integrity &amp; Wounds'!I35</f>
        <v>149</v>
      </c>
      <c r="E11" s="49">
        <f t="shared" si="0"/>
        <v>0.87647058823529411</v>
      </c>
      <c r="F11" s="111"/>
      <c r="G11" s="111"/>
    </row>
    <row r="12" spans="1:7" ht="28.8" x14ac:dyDescent="0.3">
      <c r="A12" s="36"/>
      <c r="B12" s="53" t="s">
        <v>16</v>
      </c>
      <c r="C12" s="54">
        <f>SUM(C8:C11)</f>
        <v>410</v>
      </c>
      <c r="D12" s="77">
        <f>SUM(D8:D11)</f>
        <v>323</v>
      </c>
      <c r="E12" s="78">
        <f t="shared" si="0"/>
        <v>0.78780487804878052</v>
      </c>
      <c r="F12" s="111"/>
      <c r="G12" s="111"/>
    </row>
    <row r="13" spans="1:7" x14ac:dyDescent="0.3">
      <c r="A13" s="36"/>
      <c r="B13" s="55" t="s">
        <v>17</v>
      </c>
      <c r="C13" s="56">
        <f>E12</f>
        <v>0.78780487804878052</v>
      </c>
      <c r="D13" s="30"/>
      <c r="E13" s="30"/>
      <c r="F13" s="111"/>
      <c r="G13" s="111"/>
    </row>
    <row r="14" spans="1:7" x14ac:dyDescent="0.3">
      <c r="A14" s="36"/>
      <c r="B14" s="57"/>
      <c r="C14" s="58"/>
      <c r="D14" s="30"/>
      <c r="E14" s="30"/>
      <c r="F14" s="111"/>
      <c r="G14" s="111"/>
    </row>
    <row r="15" spans="1:7" x14ac:dyDescent="0.3">
      <c r="A15" s="36"/>
      <c r="B15" s="57"/>
      <c r="C15" s="58"/>
      <c r="D15" s="30"/>
      <c r="E15" s="30"/>
      <c r="F15" s="111"/>
      <c r="G15" s="111"/>
    </row>
    <row r="16" spans="1:7" ht="57" customHeight="1" x14ac:dyDescent="0.3">
      <c r="A16" s="113" t="s">
        <v>18</v>
      </c>
      <c r="B16" s="113"/>
      <c r="C16" s="113"/>
      <c r="D16" s="113"/>
      <c r="E16" s="113"/>
      <c r="F16" s="113"/>
      <c r="G16" s="113"/>
    </row>
    <row r="17" spans="1:7" ht="18" x14ac:dyDescent="0.35">
      <c r="A17" s="114" t="s">
        <v>19</v>
      </c>
      <c r="B17" s="114"/>
      <c r="C17" s="114"/>
      <c r="D17" s="114"/>
      <c r="E17" s="114"/>
      <c r="F17" s="114"/>
      <c r="G17" s="114"/>
    </row>
    <row r="18" spans="1:7" x14ac:dyDescent="0.3">
      <c r="A18" s="115" t="s">
        <v>20</v>
      </c>
      <c r="B18" s="115"/>
      <c r="C18" s="115"/>
      <c r="D18" s="115"/>
      <c r="E18" s="115"/>
      <c r="F18" s="115"/>
      <c r="G18" s="115"/>
    </row>
    <row r="19" spans="1:7" ht="27.6" x14ac:dyDescent="0.3">
      <c r="A19" s="59"/>
      <c r="B19" s="60" t="s">
        <v>12</v>
      </c>
      <c r="C19" s="60" t="s">
        <v>13</v>
      </c>
      <c r="D19" s="60" t="s">
        <v>14</v>
      </c>
      <c r="E19" s="116" t="s">
        <v>15</v>
      </c>
      <c r="F19" s="117"/>
      <c r="G19" s="60" t="s">
        <v>17</v>
      </c>
    </row>
    <row r="20" spans="1:7" x14ac:dyDescent="0.3">
      <c r="A20" s="61">
        <v>45682</v>
      </c>
      <c r="B20" s="80"/>
      <c r="C20" s="81"/>
      <c r="D20" s="81"/>
      <c r="E20" s="103"/>
      <c r="F20" s="104"/>
      <c r="G20" s="82"/>
    </row>
    <row r="21" spans="1:7" x14ac:dyDescent="0.3">
      <c r="A21" s="62">
        <v>45713</v>
      </c>
      <c r="B21" s="83"/>
      <c r="C21" s="84"/>
      <c r="D21" s="84"/>
      <c r="E21" s="105"/>
      <c r="F21" s="106"/>
      <c r="G21" s="85"/>
    </row>
    <row r="22" spans="1:7" x14ac:dyDescent="0.3">
      <c r="A22" s="61">
        <v>45741</v>
      </c>
      <c r="B22" s="80"/>
      <c r="C22" s="81"/>
      <c r="D22" s="81"/>
      <c r="E22" s="103"/>
      <c r="F22" s="104"/>
      <c r="G22" s="82"/>
    </row>
    <row r="23" spans="1:7" x14ac:dyDescent="0.3">
      <c r="A23" s="62">
        <v>45772</v>
      </c>
      <c r="B23" s="84"/>
      <c r="C23" s="84"/>
      <c r="D23" s="84"/>
      <c r="E23" s="105"/>
      <c r="F23" s="106"/>
      <c r="G23" s="85"/>
    </row>
    <row r="24" spans="1:7" x14ac:dyDescent="0.3">
      <c r="A24" s="61">
        <v>45802</v>
      </c>
      <c r="B24" s="81"/>
      <c r="C24" s="81"/>
      <c r="D24" s="81"/>
      <c r="E24" s="103"/>
      <c r="F24" s="104"/>
      <c r="G24" s="82"/>
    </row>
    <row r="25" spans="1:7" x14ac:dyDescent="0.3">
      <c r="A25" s="62">
        <v>45833</v>
      </c>
      <c r="B25" s="84"/>
      <c r="C25" s="84"/>
      <c r="D25" s="84"/>
      <c r="E25" s="105"/>
      <c r="F25" s="106"/>
      <c r="G25" s="85"/>
    </row>
    <row r="26" spans="1:7" x14ac:dyDescent="0.3">
      <c r="A26" s="61">
        <v>45863</v>
      </c>
      <c r="B26" s="101">
        <v>0.6</v>
      </c>
      <c r="C26" s="101">
        <v>0.61670000000000003</v>
      </c>
      <c r="D26" s="101">
        <v>0.82310000000000005</v>
      </c>
      <c r="E26" s="107">
        <v>0.87649999999999995</v>
      </c>
      <c r="F26" s="104"/>
      <c r="G26" s="102">
        <v>0.79</v>
      </c>
    </row>
    <row r="27" spans="1:7" x14ac:dyDescent="0.3">
      <c r="A27" s="62">
        <v>45894</v>
      </c>
      <c r="B27" s="84"/>
      <c r="C27" s="84"/>
      <c r="D27" s="84"/>
      <c r="E27" s="105"/>
      <c r="F27" s="106"/>
      <c r="G27" s="85"/>
    </row>
    <row r="28" spans="1:7" x14ac:dyDescent="0.3">
      <c r="A28" s="61">
        <v>45925</v>
      </c>
      <c r="B28" s="81"/>
      <c r="C28" s="81"/>
      <c r="D28" s="81"/>
      <c r="E28" s="103"/>
      <c r="F28" s="104"/>
      <c r="G28" s="82"/>
    </row>
    <row r="29" spans="1:7" x14ac:dyDescent="0.3">
      <c r="A29" s="62">
        <v>45955</v>
      </c>
      <c r="B29" s="84"/>
      <c r="C29" s="84"/>
      <c r="D29" s="84"/>
      <c r="E29" s="105"/>
      <c r="F29" s="106"/>
      <c r="G29" s="85"/>
    </row>
    <row r="30" spans="1:7" x14ac:dyDescent="0.3">
      <c r="A30" s="61">
        <v>45986</v>
      </c>
      <c r="B30" s="81"/>
      <c r="C30" s="81"/>
      <c r="D30" s="81"/>
      <c r="E30" s="103"/>
      <c r="F30" s="104"/>
      <c r="G30" s="82"/>
    </row>
    <row r="31" spans="1:7" x14ac:dyDescent="0.3">
      <c r="A31" s="62">
        <v>46016</v>
      </c>
      <c r="B31" s="84"/>
      <c r="C31" s="84"/>
      <c r="D31" s="84"/>
      <c r="E31" s="105"/>
      <c r="F31" s="106"/>
      <c r="G31" s="85"/>
    </row>
  </sheetData>
  <sheetProtection algorithmName="SHA-512" hashValue="hZBAR4NvURqN8tZsIUxYA/rTg9hRS0D9o0ooMFDrwy4N27eHZKwVAhOrFHQoqBHThohSiTnF7aeDbiZ3zl9w4A==" saltValue="0MYaZUznlQD2k9w5z2gJ/w==" spinCount="100000" sheet="1" objects="1" scenarios="1"/>
  <mergeCells count="22">
    <mergeCell ref="E21:F21"/>
    <mergeCell ref="A1:G1"/>
    <mergeCell ref="C2:D2"/>
    <mergeCell ref="F2:G15"/>
    <mergeCell ref="C3:D3"/>
    <mergeCell ref="C4:D4"/>
    <mergeCell ref="C5:D5"/>
    <mergeCell ref="A16:G16"/>
    <mergeCell ref="A17:G17"/>
    <mergeCell ref="A18:G18"/>
    <mergeCell ref="E19:F19"/>
    <mergeCell ref="E20:F20"/>
    <mergeCell ref="E28:F28"/>
    <mergeCell ref="E29:F29"/>
    <mergeCell ref="E30:F30"/>
    <mergeCell ref="E31:F31"/>
    <mergeCell ref="E22:F22"/>
    <mergeCell ref="E23:F23"/>
    <mergeCell ref="E24:F24"/>
    <mergeCell ref="E25:F25"/>
    <mergeCell ref="E26:F26"/>
    <mergeCell ref="E27:F2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zoomScale="130" zoomScaleNormal="130" workbookViewId="0">
      <selection activeCell="H1" sqref="H1"/>
    </sheetView>
  </sheetViews>
  <sheetFormatPr defaultRowHeight="14.4" x14ac:dyDescent="0.3"/>
  <cols>
    <col min="4" max="4" width="13.109375" customWidth="1"/>
    <col min="5" max="5" width="9.6640625" customWidth="1"/>
    <col min="6" max="8" width="29.6640625" customWidth="1"/>
  </cols>
  <sheetData>
    <row r="1" spans="1:14" x14ac:dyDescent="0.3">
      <c r="A1" s="2" t="s">
        <v>21</v>
      </c>
      <c r="B1" s="153">
        <v>45872</v>
      </c>
      <c r="C1" s="154"/>
      <c r="D1" s="154"/>
      <c r="E1" s="154"/>
      <c r="F1" s="2"/>
      <c r="G1" s="4" t="s">
        <v>22</v>
      </c>
      <c r="H1" s="95" t="s">
        <v>7</v>
      </c>
      <c r="I1" s="5"/>
      <c r="J1" s="2"/>
      <c r="K1" s="2"/>
      <c r="L1" s="2"/>
      <c r="M1" s="2"/>
      <c r="N1" s="2"/>
    </row>
    <row r="2" spans="1:14" x14ac:dyDescent="0.3">
      <c r="A2" s="155"/>
      <c r="B2" s="155"/>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56" t="s">
        <v>23</v>
      </c>
      <c r="B4" s="157"/>
      <c r="C4" s="157"/>
      <c r="D4" s="158"/>
      <c r="E4" s="8" t="s">
        <v>24</v>
      </c>
      <c r="F4" s="86" t="s">
        <v>25</v>
      </c>
      <c r="G4" s="87" t="s">
        <v>26</v>
      </c>
      <c r="H4" s="88" t="s">
        <v>27</v>
      </c>
      <c r="I4" s="5"/>
      <c r="J4" s="10"/>
      <c r="K4" s="2"/>
      <c r="L4" s="2"/>
      <c r="M4" s="2"/>
      <c r="N4" s="2"/>
    </row>
    <row r="5" spans="1:14" ht="27.6" x14ac:dyDescent="0.3">
      <c r="A5" s="159"/>
      <c r="B5" s="160"/>
      <c r="C5" s="160"/>
      <c r="D5" s="161"/>
      <c r="E5" s="9" t="s">
        <v>28</v>
      </c>
      <c r="F5" s="94" t="s">
        <v>29</v>
      </c>
      <c r="G5" s="94" t="s">
        <v>29</v>
      </c>
      <c r="H5" s="94" t="s">
        <v>29</v>
      </c>
      <c r="I5" s="5"/>
      <c r="J5" s="10"/>
      <c r="K5" s="2"/>
      <c r="L5" s="2"/>
      <c r="M5" s="2"/>
      <c r="N5" s="2"/>
    </row>
    <row r="6" spans="1:14" ht="27.6" x14ac:dyDescent="0.3">
      <c r="A6" s="159"/>
      <c r="B6" s="160"/>
      <c r="C6" s="160"/>
      <c r="D6" s="161"/>
      <c r="E6" s="14" t="s">
        <v>30</v>
      </c>
      <c r="F6" s="94" t="s">
        <v>31</v>
      </c>
      <c r="G6" s="94" t="s">
        <v>32</v>
      </c>
      <c r="H6" s="94" t="s">
        <v>31</v>
      </c>
      <c r="I6" s="13"/>
      <c r="J6" s="12"/>
      <c r="K6" s="12"/>
      <c r="L6" s="12"/>
      <c r="M6" s="12"/>
      <c r="N6" s="12"/>
    </row>
    <row r="7" spans="1:14" ht="27.6" x14ac:dyDescent="0.3">
      <c r="A7" s="162"/>
      <c r="B7" s="163"/>
      <c r="C7" s="163"/>
      <c r="D7" s="164"/>
      <c r="E7" s="14" t="s">
        <v>33</v>
      </c>
      <c r="F7" s="89" t="s">
        <v>34</v>
      </c>
      <c r="G7" s="89" t="s">
        <v>35</v>
      </c>
      <c r="H7" s="89" t="s">
        <v>36</v>
      </c>
      <c r="I7" s="13"/>
      <c r="J7" s="12"/>
      <c r="K7" s="12"/>
      <c r="L7" s="12"/>
      <c r="M7" s="12"/>
      <c r="N7" s="12"/>
    </row>
    <row r="8" spans="1:14" ht="78.599999999999994" customHeight="1" x14ac:dyDescent="0.3">
      <c r="A8" s="165" t="s">
        <v>37</v>
      </c>
      <c r="B8" s="166"/>
      <c r="C8" s="166"/>
      <c r="D8" s="167"/>
      <c r="E8" s="16" t="s">
        <v>38</v>
      </c>
      <c r="F8" s="165" t="s">
        <v>39</v>
      </c>
      <c r="G8" s="166"/>
      <c r="H8" s="167"/>
      <c r="I8" s="16" t="s">
        <v>40</v>
      </c>
      <c r="J8" s="17"/>
      <c r="K8" s="17"/>
      <c r="L8" s="18"/>
      <c r="M8" s="18"/>
      <c r="N8" s="18"/>
    </row>
    <row r="9" spans="1:14" ht="78.599999999999994" customHeight="1" x14ac:dyDescent="0.3">
      <c r="A9" s="128" t="s">
        <v>41</v>
      </c>
      <c r="B9" s="129"/>
      <c r="C9" s="129"/>
      <c r="D9" s="130"/>
      <c r="E9" s="15">
        <v>10</v>
      </c>
      <c r="F9" s="76">
        <v>0</v>
      </c>
      <c r="G9" s="76">
        <v>0</v>
      </c>
      <c r="H9" s="76">
        <v>0</v>
      </c>
      <c r="I9" s="131">
        <f>IF(F9="N/A",4,F9)+IF(G9="N/A",3,G9)+IF(H9="N/A",3,H9)</f>
        <v>0</v>
      </c>
      <c r="J9" s="10"/>
      <c r="K9" s="6"/>
      <c r="L9" s="6"/>
      <c r="M9" s="6"/>
      <c r="N9" s="6"/>
    </row>
    <row r="10" spans="1:14" ht="151.80000000000001" x14ac:dyDescent="0.3">
      <c r="A10" s="133" t="s">
        <v>42</v>
      </c>
      <c r="B10" s="134"/>
      <c r="C10" s="134"/>
      <c r="D10" s="134"/>
      <c r="E10" s="135"/>
      <c r="F10" s="90" t="s">
        <v>43</v>
      </c>
      <c r="G10" s="90"/>
      <c r="H10" s="90"/>
      <c r="I10" s="132"/>
      <c r="J10" s="10"/>
      <c r="K10" s="6"/>
      <c r="L10" s="6"/>
      <c r="M10" s="6"/>
      <c r="N10" s="6"/>
    </row>
    <row r="11" spans="1:14" ht="62.4" customHeight="1" x14ac:dyDescent="0.3">
      <c r="A11" s="128" t="s">
        <v>44</v>
      </c>
      <c r="B11" s="129"/>
      <c r="C11" s="129"/>
      <c r="D11" s="130"/>
      <c r="E11" s="19">
        <v>10</v>
      </c>
      <c r="F11" s="76">
        <v>10</v>
      </c>
      <c r="G11" s="11" t="s">
        <v>45</v>
      </c>
      <c r="H11" s="11" t="s">
        <v>45</v>
      </c>
      <c r="I11" s="131">
        <f>IF(F11="N/A",10,F11)</f>
        <v>10</v>
      </c>
      <c r="J11" s="1"/>
      <c r="K11" s="6"/>
      <c r="L11" s="6"/>
      <c r="M11" s="6"/>
      <c r="N11" s="6"/>
    </row>
    <row r="12" spans="1:14" ht="41.4" x14ac:dyDescent="0.3">
      <c r="A12" s="133" t="s">
        <v>46</v>
      </c>
      <c r="B12" s="134"/>
      <c r="C12" s="134"/>
      <c r="D12" s="134"/>
      <c r="E12" s="135"/>
      <c r="F12" s="90" t="s">
        <v>47</v>
      </c>
      <c r="G12" s="90"/>
      <c r="H12" s="90"/>
      <c r="I12" s="132"/>
      <c r="J12" s="1"/>
      <c r="K12" s="6"/>
      <c r="L12" s="6"/>
      <c r="M12" s="6"/>
      <c r="N12" s="6"/>
    </row>
    <row r="13" spans="1:14" ht="168" customHeight="1" x14ac:dyDescent="0.3">
      <c r="A13" s="128" t="s">
        <v>48</v>
      </c>
      <c r="B13" s="129"/>
      <c r="C13" s="129"/>
      <c r="D13" s="130"/>
      <c r="E13" s="19">
        <v>10</v>
      </c>
      <c r="F13" s="76">
        <v>0</v>
      </c>
      <c r="G13" s="76">
        <v>0</v>
      </c>
      <c r="H13" s="76">
        <v>0</v>
      </c>
      <c r="I13" s="131">
        <f>IF(F13="N/A",4,F13)+IF(G13="N/A",3,G13)+IF(H13="N/A",3,H13)</f>
        <v>0</v>
      </c>
      <c r="J13" s="1"/>
      <c r="K13" s="1"/>
      <c r="L13" s="2"/>
      <c r="M13" s="2"/>
      <c r="N13" s="2"/>
    </row>
    <row r="14" spans="1:14" ht="69" x14ac:dyDescent="0.3">
      <c r="A14" s="133" t="s">
        <v>49</v>
      </c>
      <c r="B14" s="134"/>
      <c r="C14" s="134"/>
      <c r="D14" s="134"/>
      <c r="E14" s="135"/>
      <c r="F14" s="90" t="s">
        <v>50</v>
      </c>
      <c r="G14" s="90" t="s">
        <v>51</v>
      </c>
      <c r="H14" s="90" t="s">
        <v>52</v>
      </c>
      <c r="I14" s="132"/>
      <c r="J14" s="1"/>
      <c r="K14" s="1"/>
      <c r="L14" s="2"/>
      <c r="M14" s="2"/>
      <c r="N14" s="2"/>
    </row>
    <row r="15" spans="1:14" ht="95.4" customHeight="1" x14ac:dyDescent="0.3">
      <c r="A15" s="128" t="s">
        <v>53</v>
      </c>
      <c r="B15" s="129"/>
      <c r="C15" s="129"/>
      <c r="D15" s="130"/>
      <c r="E15" s="19">
        <v>10</v>
      </c>
      <c r="F15" s="76">
        <v>4</v>
      </c>
      <c r="G15" s="76">
        <v>3</v>
      </c>
      <c r="H15" s="76">
        <v>3</v>
      </c>
      <c r="I15" s="131">
        <f>IF(F15="N/A",4,F15)+IF(G15="N/A",3,G15)+IF(H15="N/A",3,H15)</f>
        <v>10</v>
      </c>
      <c r="J15" s="1"/>
      <c r="K15" s="1"/>
      <c r="L15" s="2"/>
      <c r="M15" s="2"/>
      <c r="N15" s="2"/>
    </row>
    <row r="16" spans="1:14" x14ac:dyDescent="0.3">
      <c r="A16" s="133" t="s">
        <v>54</v>
      </c>
      <c r="B16" s="134"/>
      <c r="C16" s="134"/>
      <c r="D16" s="134"/>
      <c r="E16" s="135"/>
      <c r="F16" s="90"/>
      <c r="G16" s="90"/>
      <c r="H16" s="90"/>
      <c r="I16" s="132"/>
      <c r="J16" s="1"/>
      <c r="K16" s="1"/>
      <c r="L16" s="2"/>
      <c r="M16" s="2"/>
      <c r="N16" s="2"/>
    </row>
    <row r="17" spans="1:14" ht="33" customHeight="1" x14ac:dyDescent="0.3">
      <c r="A17" s="128" t="s">
        <v>55</v>
      </c>
      <c r="B17" s="129"/>
      <c r="C17" s="129"/>
      <c r="D17" s="130"/>
      <c r="E17" s="21">
        <v>10</v>
      </c>
      <c r="F17" s="76">
        <v>4</v>
      </c>
      <c r="G17" s="76">
        <v>3</v>
      </c>
      <c r="H17" s="76">
        <v>3</v>
      </c>
      <c r="I17" s="131">
        <f>IF(F17="N/A",4,F17)+IF(G17="N/A",3,G17)+IF(H17="N/A",3,H17)</f>
        <v>10</v>
      </c>
      <c r="J17" s="1"/>
      <c r="K17" s="1"/>
      <c r="L17" s="2"/>
      <c r="M17" s="2"/>
      <c r="N17" s="2"/>
    </row>
    <row r="18" spans="1:14" x14ac:dyDescent="0.3">
      <c r="A18" s="133" t="s">
        <v>56</v>
      </c>
      <c r="B18" s="134"/>
      <c r="C18" s="134"/>
      <c r="D18" s="134"/>
      <c r="E18" s="135"/>
      <c r="F18" s="136"/>
      <c r="G18" s="137"/>
      <c r="H18" s="138"/>
      <c r="I18" s="132"/>
      <c r="J18" s="1"/>
      <c r="K18" s="1"/>
      <c r="L18" s="2"/>
      <c r="M18" s="2"/>
      <c r="N18" s="2"/>
    </row>
    <row r="19" spans="1:14" ht="15.6" x14ac:dyDescent="0.3">
      <c r="A19" s="125" t="s">
        <v>57</v>
      </c>
      <c r="B19" s="126"/>
      <c r="C19" s="126"/>
      <c r="D19" s="127"/>
      <c r="E19" s="22">
        <f>E9+E11+E13+E15+E17</f>
        <v>50</v>
      </c>
      <c r="F19" s="2"/>
      <c r="G19" s="2"/>
      <c r="H19" s="23" t="s">
        <v>58</v>
      </c>
      <c r="I19" s="22">
        <f>SUM(I9:I18)</f>
        <v>30</v>
      </c>
      <c r="J19" s="1"/>
      <c r="K19" s="1"/>
      <c r="L19" s="2"/>
      <c r="M19" s="2"/>
      <c r="N19" s="2"/>
    </row>
    <row r="20" spans="1:14" x14ac:dyDescent="0.3">
      <c r="A20" s="4"/>
      <c r="B20" s="4"/>
      <c r="C20" s="4"/>
      <c r="D20" s="4"/>
      <c r="E20" s="5"/>
      <c r="F20" s="2"/>
      <c r="G20" s="2"/>
      <c r="H20" s="2"/>
      <c r="I20" s="5"/>
      <c r="J20" s="1"/>
      <c r="K20" s="1"/>
      <c r="L20" s="2"/>
      <c r="M20" s="2"/>
      <c r="N20" s="2"/>
    </row>
    <row r="21" spans="1:14" x14ac:dyDescent="0.3">
      <c r="A21" s="139" t="s">
        <v>59</v>
      </c>
      <c r="B21" s="139"/>
      <c r="C21" s="139"/>
      <c r="D21" s="139"/>
      <c r="E21" s="139"/>
      <c r="F21" s="139"/>
      <c r="G21" s="139"/>
      <c r="H21" s="139"/>
      <c r="I21" s="139"/>
      <c r="J21" s="1"/>
      <c r="K21" s="1"/>
      <c r="L21" s="2"/>
      <c r="M21" s="2"/>
      <c r="N21" s="2"/>
    </row>
    <row r="22" spans="1:14" ht="28.2" x14ac:dyDescent="0.35">
      <c r="A22" s="7"/>
      <c r="B22" s="7"/>
      <c r="C22" s="7"/>
      <c r="D22" s="24" t="s">
        <v>60</v>
      </c>
      <c r="E22" s="140"/>
      <c r="F22" s="141"/>
      <c r="G22" s="91"/>
      <c r="H22" s="91"/>
      <c r="I22" s="142" t="s">
        <v>61</v>
      </c>
      <c r="J22" s="10"/>
      <c r="K22" s="1"/>
      <c r="L22" s="2"/>
      <c r="M22" s="2"/>
      <c r="N22" s="2"/>
    </row>
    <row r="23" spans="1:14" ht="18" x14ac:dyDescent="0.35">
      <c r="A23" s="7"/>
      <c r="B23" s="7"/>
      <c r="C23" s="7"/>
      <c r="D23" s="25" t="s">
        <v>62</v>
      </c>
      <c r="E23" s="145"/>
      <c r="F23" s="146"/>
      <c r="G23" s="92"/>
      <c r="H23" s="92"/>
      <c r="I23" s="143"/>
      <c r="J23" s="10"/>
      <c r="K23" s="1"/>
      <c r="L23" s="2"/>
      <c r="M23" s="2"/>
      <c r="N23" s="2"/>
    </row>
    <row r="24" spans="1:14" ht="15.6" x14ac:dyDescent="0.3">
      <c r="A24" s="147" t="s">
        <v>63</v>
      </c>
      <c r="B24" s="148"/>
      <c r="C24" s="148"/>
      <c r="D24" s="149"/>
      <c r="E24" s="150" t="s">
        <v>64</v>
      </c>
      <c r="F24" s="151"/>
      <c r="G24" s="151"/>
      <c r="H24" s="152"/>
      <c r="I24" s="144"/>
      <c r="J24" s="1"/>
      <c r="K24" s="1"/>
      <c r="L24" s="2"/>
      <c r="M24" s="2"/>
      <c r="N24" s="2"/>
    </row>
    <row r="25" spans="1:14" ht="25.95" customHeight="1" x14ac:dyDescent="0.3">
      <c r="A25" s="119" t="s">
        <v>65</v>
      </c>
      <c r="B25" s="120"/>
      <c r="C25" s="120"/>
      <c r="D25" s="121"/>
      <c r="E25" s="122"/>
      <c r="F25" s="123"/>
      <c r="G25" s="93"/>
      <c r="H25" s="92"/>
      <c r="I25" s="94"/>
      <c r="J25" s="10"/>
      <c r="K25" s="2"/>
      <c r="L25" s="2"/>
      <c r="M25" s="2"/>
      <c r="N25" s="2"/>
    </row>
    <row r="26" spans="1:14" ht="30.6" customHeight="1" x14ac:dyDescent="0.3">
      <c r="A26" s="119" t="s">
        <v>66</v>
      </c>
      <c r="B26" s="120"/>
      <c r="C26" s="120"/>
      <c r="D26" s="121"/>
      <c r="E26" s="122"/>
      <c r="F26" s="123"/>
      <c r="G26" s="93"/>
      <c r="H26" s="92"/>
      <c r="I26" s="94"/>
      <c r="J26" s="10"/>
      <c r="K26" s="2"/>
      <c r="L26" s="2"/>
      <c r="M26" s="2"/>
      <c r="N26" s="2"/>
    </row>
    <row r="27" spans="1:14" ht="21" customHeight="1" x14ac:dyDescent="0.3">
      <c r="A27" s="119" t="s">
        <v>67</v>
      </c>
      <c r="B27" s="120"/>
      <c r="C27" s="120"/>
      <c r="D27" s="121"/>
      <c r="E27" s="122"/>
      <c r="F27" s="123"/>
      <c r="G27" s="93"/>
      <c r="H27" s="92"/>
      <c r="I27" s="94"/>
      <c r="J27" s="2"/>
      <c r="K27" s="2"/>
      <c r="L27" s="2"/>
      <c r="M27" s="2"/>
      <c r="N27" s="2"/>
    </row>
    <row r="28" spans="1:14" ht="75" customHeight="1" x14ac:dyDescent="0.3">
      <c r="A28" s="119" t="s">
        <v>68</v>
      </c>
      <c r="B28" s="120"/>
      <c r="C28" s="120"/>
      <c r="D28" s="121"/>
      <c r="E28" s="122"/>
      <c r="F28" s="123"/>
      <c r="G28" s="93"/>
      <c r="H28" s="93"/>
      <c r="I28" s="94"/>
      <c r="J28" s="2"/>
      <c r="K28" s="2"/>
      <c r="L28" s="2"/>
      <c r="M28" s="2"/>
      <c r="N28" s="2"/>
    </row>
    <row r="29" spans="1:14" ht="30.6" customHeight="1" x14ac:dyDescent="0.3">
      <c r="A29" s="119" t="s">
        <v>69</v>
      </c>
      <c r="B29" s="120"/>
      <c r="C29" s="120"/>
      <c r="D29" s="121"/>
      <c r="E29" s="122"/>
      <c r="F29" s="123"/>
      <c r="G29" s="93"/>
      <c r="H29" s="93"/>
      <c r="I29" s="94"/>
      <c r="J29" s="2"/>
      <c r="K29" s="2"/>
      <c r="L29" s="2"/>
      <c r="M29" s="2"/>
      <c r="N29" s="2"/>
    </row>
    <row r="30" spans="1:14" x14ac:dyDescent="0.3">
      <c r="A30" s="124"/>
      <c r="B30" s="124"/>
      <c r="C30" s="1"/>
      <c r="D30" s="1"/>
      <c r="E30" s="3"/>
      <c r="F30" s="1"/>
      <c r="G30" s="1"/>
      <c r="H30" s="1"/>
      <c r="I30" s="3"/>
      <c r="J30" s="2"/>
      <c r="K30" s="2"/>
      <c r="L30" s="2"/>
      <c r="M30" s="2"/>
      <c r="N30" s="2"/>
    </row>
    <row r="31" spans="1:14" x14ac:dyDescent="0.3">
      <c r="A31" s="118"/>
      <c r="B31" s="118"/>
      <c r="C31" s="1"/>
      <c r="D31" s="1"/>
      <c r="E31" s="3"/>
      <c r="F31" s="1"/>
      <c r="G31" s="1"/>
      <c r="H31" s="1"/>
      <c r="I31" s="3"/>
      <c r="J31" s="2"/>
      <c r="K31" s="2"/>
      <c r="L31" s="2"/>
      <c r="M31" s="2"/>
      <c r="N31" s="2"/>
    </row>
    <row r="32" spans="1:14" x14ac:dyDescent="0.3">
      <c r="A32" s="118"/>
      <c r="B32" s="118"/>
      <c r="C32" s="1"/>
      <c r="D32" s="1"/>
      <c r="E32" s="3"/>
      <c r="F32" s="1"/>
      <c r="G32" s="1"/>
      <c r="H32" s="1"/>
      <c r="I32" s="3"/>
      <c r="J32" s="2"/>
      <c r="K32" s="2"/>
      <c r="L32" s="2"/>
      <c r="M32" s="2"/>
      <c r="N32" s="2"/>
    </row>
    <row r="33" spans="1:14" x14ac:dyDescent="0.3">
      <c r="A33" s="118"/>
      <c r="B33" s="118"/>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B1:E1"/>
    <mergeCell ref="A2:B2"/>
    <mergeCell ref="A4:D7"/>
    <mergeCell ref="A8:D8"/>
    <mergeCell ref="F8:H8"/>
    <mergeCell ref="I9:I10"/>
    <mergeCell ref="A10:E10"/>
    <mergeCell ref="A11:D11"/>
    <mergeCell ref="I11:I12"/>
    <mergeCell ref="A12:E12"/>
    <mergeCell ref="A9:D9"/>
    <mergeCell ref="A13:D13"/>
    <mergeCell ref="I13:I14"/>
    <mergeCell ref="A14:E14"/>
    <mergeCell ref="A15:D15"/>
    <mergeCell ref="I15:I16"/>
    <mergeCell ref="A16:E16"/>
    <mergeCell ref="A25:D25"/>
    <mergeCell ref="E25:F25"/>
    <mergeCell ref="A19:D19"/>
    <mergeCell ref="A17:D17"/>
    <mergeCell ref="I17:I18"/>
    <mergeCell ref="A18:E18"/>
    <mergeCell ref="F18:H18"/>
    <mergeCell ref="A21:I21"/>
    <mergeCell ref="E22:F22"/>
    <mergeCell ref="I22:I24"/>
    <mergeCell ref="E23:F23"/>
    <mergeCell ref="A24:D24"/>
    <mergeCell ref="E24:H24"/>
    <mergeCell ref="A33:B33"/>
    <mergeCell ref="A26:D26"/>
    <mergeCell ref="E26:F26"/>
    <mergeCell ref="A27:D27"/>
    <mergeCell ref="E27:F27"/>
    <mergeCell ref="A28:D28"/>
    <mergeCell ref="E28:F28"/>
    <mergeCell ref="A29:D29"/>
    <mergeCell ref="E29:F29"/>
    <mergeCell ref="A30:B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workbookViewId="0">
      <selection activeCell="H11" sqref="H11"/>
    </sheetView>
  </sheetViews>
  <sheetFormatPr defaultRowHeight="14.4" x14ac:dyDescent="0.3"/>
  <cols>
    <col min="4" max="4" width="12" customWidth="1"/>
    <col min="5" max="5" width="10.6640625" customWidth="1"/>
    <col min="6" max="8" width="29.6640625" customWidth="1"/>
  </cols>
  <sheetData>
    <row r="1" spans="1:14" x14ac:dyDescent="0.3">
      <c r="A1" s="2" t="s">
        <v>21</v>
      </c>
      <c r="B1" s="153">
        <v>45872</v>
      </c>
      <c r="C1" s="154"/>
      <c r="D1" s="154"/>
      <c r="E1" s="154"/>
      <c r="F1" s="2"/>
      <c r="G1" s="4" t="s">
        <v>22</v>
      </c>
      <c r="H1" s="95" t="s">
        <v>7</v>
      </c>
      <c r="I1" s="5"/>
      <c r="J1" s="2"/>
      <c r="K1" s="2"/>
      <c r="L1" s="2"/>
      <c r="M1" s="2"/>
      <c r="N1" s="2"/>
    </row>
    <row r="2" spans="1:14" x14ac:dyDescent="0.3">
      <c r="A2" s="155"/>
      <c r="B2" s="155"/>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56" t="s">
        <v>70</v>
      </c>
      <c r="B4" s="157"/>
      <c r="C4" s="157"/>
      <c r="D4" s="158"/>
      <c r="E4" s="8" t="s">
        <v>24</v>
      </c>
      <c r="F4" s="86" t="s">
        <v>71</v>
      </c>
      <c r="G4" s="87" t="s">
        <v>72</v>
      </c>
      <c r="H4" s="88" t="s">
        <v>73</v>
      </c>
      <c r="I4" s="5"/>
      <c r="J4" s="10"/>
      <c r="K4" s="2"/>
      <c r="L4" s="2"/>
      <c r="M4" s="2"/>
      <c r="N4" s="2"/>
    </row>
    <row r="5" spans="1:14" ht="27.6" x14ac:dyDescent="0.3">
      <c r="A5" s="159"/>
      <c r="B5" s="160"/>
      <c r="C5" s="160"/>
      <c r="D5" s="161"/>
      <c r="E5" s="9" t="s">
        <v>28</v>
      </c>
      <c r="F5" s="94" t="s">
        <v>74</v>
      </c>
      <c r="G5" s="94" t="s">
        <v>74</v>
      </c>
      <c r="H5" s="94" t="s">
        <v>75</v>
      </c>
      <c r="I5" s="5"/>
      <c r="J5" s="10"/>
      <c r="K5" s="2"/>
      <c r="L5" s="2"/>
      <c r="M5" s="2"/>
      <c r="N5" s="2"/>
    </row>
    <row r="6" spans="1:14" x14ac:dyDescent="0.3">
      <c r="A6" s="159"/>
      <c r="B6" s="160"/>
      <c r="C6" s="160"/>
      <c r="D6" s="161"/>
      <c r="E6" s="14" t="s">
        <v>76</v>
      </c>
      <c r="F6" s="94" t="s">
        <v>75</v>
      </c>
      <c r="G6" s="94" t="s">
        <v>75</v>
      </c>
      <c r="H6" s="94" t="s">
        <v>75</v>
      </c>
      <c r="I6" s="13"/>
      <c r="J6" s="12"/>
      <c r="K6" s="12"/>
      <c r="L6" s="12"/>
      <c r="M6" s="12"/>
      <c r="N6" s="12"/>
    </row>
    <row r="7" spans="1:14" ht="27.6" x14ac:dyDescent="0.3">
      <c r="A7" s="162"/>
      <c r="B7" s="163"/>
      <c r="C7" s="163"/>
      <c r="D7" s="164"/>
      <c r="E7" s="14" t="s">
        <v>33</v>
      </c>
      <c r="F7" s="89" t="s">
        <v>77</v>
      </c>
      <c r="G7" s="89" t="s">
        <v>78</v>
      </c>
      <c r="H7" s="89" t="s">
        <v>79</v>
      </c>
      <c r="I7" s="13"/>
      <c r="J7" s="12"/>
      <c r="K7" s="12"/>
      <c r="L7" s="12"/>
      <c r="M7" s="12"/>
      <c r="N7" s="12"/>
    </row>
    <row r="8" spans="1:14" ht="78.599999999999994" customHeight="1" x14ac:dyDescent="0.3">
      <c r="A8" s="165" t="s">
        <v>37</v>
      </c>
      <c r="B8" s="166"/>
      <c r="C8" s="166"/>
      <c r="D8" s="167"/>
      <c r="E8" s="16" t="s">
        <v>38</v>
      </c>
      <c r="F8" s="165" t="s">
        <v>39</v>
      </c>
      <c r="G8" s="166"/>
      <c r="H8" s="167"/>
      <c r="I8" s="16" t="s">
        <v>40</v>
      </c>
      <c r="J8" s="17"/>
      <c r="K8" s="17"/>
      <c r="L8" s="18"/>
      <c r="M8" s="18"/>
      <c r="N8" s="18"/>
    </row>
    <row r="9" spans="1:14" ht="70.5" customHeight="1" x14ac:dyDescent="0.3">
      <c r="A9" s="128" t="s">
        <v>80</v>
      </c>
      <c r="B9" s="129"/>
      <c r="C9" s="129"/>
      <c r="D9" s="130"/>
      <c r="E9" s="15">
        <v>10</v>
      </c>
      <c r="F9" s="76">
        <v>4</v>
      </c>
      <c r="G9" s="76">
        <v>3</v>
      </c>
      <c r="H9" s="76">
        <v>3</v>
      </c>
      <c r="I9" s="131">
        <f>IF(F9="N/A",4,F9)+IF(G9="N/A",3,G9)+IF(H9="N/A",3,H9)</f>
        <v>10</v>
      </c>
      <c r="J9" s="10"/>
      <c r="K9" s="6"/>
      <c r="L9" s="6"/>
      <c r="M9" s="6"/>
      <c r="N9" s="6"/>
    </row>
    <row r="10" spans="1:14" ht="18" x14ac:dyDescent="0.3">
      <c r="A10" s="133" t="s">
        <v>42</v>
      </c>
      <c r="B10" s="134"/>
      <c r="C10" s="134"/>
      <c r="D10" s="134"/>
      <c r="E10" s="135"/>
      <c r="F10" s="90"/>
      <c r="G10" s="90"/>
      <c r="H10" s="90"/>
      <c r="I10" s="132"/>
      <c r="J10" s="10"/>
      <c r="K10" s="6"/>
      <c r="L10" s="6"/>
      <c r="M10" s="6"/>
      <c r="N10" s="6"/>
    </row>
    <row r="11" spans="1:14" ht="79.2" customHeight="1" x14ac:dyDescent="0.3">
      <c r="A11" s="128" t="s">
        <v>81</v>
      </c>
      <c r="B11" s="129"/>
      <c r="C11" s="129"/>
      <c r="D11" s="130"/>
      <c r="E11" s="19">
        <v>10</v>
      </c>
      <c r="F11" s="76">
        <v>4</v>
      </c>
      <c r="G11" s="76">
        <v>0</v>
      </c>
      <c r="H11" s="76">
        <v>3</v>
      </c>
      <c r="I11" s="131">
        <f>IF(F11="N/A",4,F11)+IF(G11="N/A",3,G11)+IF(H11="N/A",3,H11)</f>
        <v>7</v>
      </c>
      <c r="J11" s="1"/>
      <c r="K11" s="6"/>
      <c r="L11" s="6"/>
      <c r="M11" s="6"/>
      <c r="N11" s="6"/>
    </row>
    <row r="12" spans="1:14" ht="165.6" x14ac:dyDescent="0.3">
      <c r="A12" s="133" t="s">
        <v>46</v>
      </c>
      <c r="B12" s="134"/>
      <c r="C12" s="134"/>
      <c r="D12" s="134"/>
      <c r="E12" s="135"/>
      <c r="F12" s="90"/>
      <c r="G12" s="90" t="s">
        <v>82</v>
      </c>
      <c r="H12" s="90"/>
      <c r="I12" s="132"/>
      <c r="J12" s="1"/>
      <c r="K12" s="6"/>
      <c r="L12" s="6"/>
      <c r="M12" s="6"/>
      <c r="N12" s="6"/>
    </row>
    <row r="13" spans="1:14" ht="114.75" customHeight="1" x14ac:dyDescent="0.3">
      <c r="A13" s="168" t="s">
        <v>83</v>
      </c>
      <c r="B13" s="169"/>
      <c r="C13" s="169"/>
      <c r="D13" s="170"/>
      <c r="E13" s="19">
        <v>10</v>
      </c>
      <c r="F13" s="76">
        <v>0</v>
      </c>
      <c r="G13" s="76">
        <v>0</v>
      </c>
      <c r="H13" s="76">
        <v>0</v>
      </c>
      <c r="I13" s="131">
        <f>IF(F13="N/A",4,F13)+IF(G13="N/A",3,G13)+IF(H13="N/A",3,H13)</f>
        <v>0</v>
      </c>
      <c r="J13" s="1"/>
      <c r="K13" s="6"/>
      <c r="L13" s="6"/>
      <c r="M13" s="6"/>
      <c r="N13" s="6"/>
    </row>
    <row r="14" spans="1:14" ht="372.6" x14ac:dyDescent="0.3">
      <c r="A14" s="133" t="s">
        <v>49</v>
      </c>
      <c r="B14" s="134"/>
      <c r="C14" s="134"/>
      <c r="D14" s="134"/>
      <c r="E14" s="135"/>
      <c r="F14" s="90" t="s">
        <v>84</v>
      </c>
      <c r="G14" s="90" t="s">
        <v>85</v>
      </c>
      <c r="H14" s="90" t="s">
        <v>86</v>
      </c>
      <c r="I14" s="132"/>
      <c r="J14" s="1"/>
      <c r="K14" s="6"/>
      <c r="L14" s="6"/>
      <c r="M14" s="6"/>
      <c r="N14" s="6"/>
    </row>
    <row r="15" spans="1:14" ht="93.75" customHeight="1" x14ac:dyDescent="0.3">
      <c r="A15" s="128" t="s">
        <v>87</v>
      </c>
      <c r="B15" s="129"/>
      <c r="C15" s="129"/>
      <c r="D15" s="130"/>
      <c r="E15" s="15">
        <v>10</v>
      </c>
      <c r="F15" s="76">
        <v>0</v>
      </c>
      <c r="G15" s="76">
        <v>0</v>
      </c>
      <c r="H15" s="76">
        <v>0</v>
      </c>
      <c r="I15" s="131">
        <f>IF(F15="N/A",4,F15)+IF(G15="N/A",3,G15)+IF(H15="N/A",3,H15)</f>
        <v>0</v>
      </c>
      <c r="J15" s="1"/>
      <c r="K15" s="1"/>
      <c r="L15" s="2"/>
      <c r="M15" s="2"/>
      <c r="N15" s="2"/>
    </row>
    <row r="16" spans="1:14" ht="110.4" x14ac:dyDescent="0.3">
      <c r="A16" s="133" t="s">
        <v>54</v>
      </c>
      <c r="B16" s="134"/>
      <c r="C16" s="134"/>
      <c r="D16" s="134"/>
      <c r="E16" s="135"/>
      <c r="F16" s="90" t="s">
        <v>88</v>
      </c>
      <c r="G16" s="90" t="s">
        <v>88</v>
      </c>
      <c r="H16" s="90" t="s">
        <v>89</v>
      </c>
      <c r="I16" s="132"/>
      <c r="J16" s="1"/>
      <c r="K16" s="1"/>
      <c r="L16" s="2"/>
      <c r="M16" s="2"/>
      <c r="N16" s="2"/>
    </row>
    <row r="17" spans="1:14" ht="78.599999999999994" customHeight="1" x14ac:dyDescent="0.3">
      <c r="A17" s="129" t="s">
        <v>90</v>
      </c>
      <c r="B17" s="129"/>
      <c r="C17" s="129"/>
      <c r="D17" s="130"/>
      <c r="E17" s="11">
        <v>10</v>
      </c>
      <c r="F17" s="76" t="s">
        <v>45</v>
      </c>
      <c r="G17" s="76" t="s">
        <v>45</v>
      </c>
      <c r="H17" s="76" t="s">
        <v>45</v>
      </c>
      <c r="I17" s="131">
        <f>IF(F17="N/A",4,F17)+IF(G17="N/A",3,G17)+IF(H17="N/A",3,H17)</f>
        <v>10</v>
      </c>
      <c r="J17" s="1"/>
      <c r="K17" s="1"/>
      <c r="L17" s="2"/>
      <c r="M17" s="2"/>
      <c r="N17" s="2"/>
    </row>
    <row r="18" spans="1:14" x14ac:dyDescent="0.3">
      <c r="A18" s="133" t="s">
        <v>56</v>
      </c>
      <c r="B18" s="134"/>
      <c r="C18" s="134"/>
      <c r="D18" s="134"/>
      <c r="E18" s="135"/>
      <c r="F18" s="96"/>
      <c r="G18" s="98"/>
      <c r="H18" s="97"/>
      <c r="I18" s="132"/>
      <c r="J18" s="1"/>
      <c r="K18" s="1"/>
      <c r="L18" s="2"/>
      <c r="M18" s="2"/>
      <c r="N18" s="2"/>
    </row>
    <row r="19" spans="1:14" ht="85.5" customHeight="1" x14ac:dyDescent="0.3">
      <c r="A19" s="128" t="s">
        <v>91</v>
      </c>
      <c r="B19" s="129"/>
      <c r="C19" s="129"/>
      <c r="D19" s="130"/>
      <c r="E19" s="21">
        <v>10</v>
      </c>
      <c r="F19" s="76" t="s">
        <v>45</v>
      </c>
      <c r="G19" s="76" t="s">
        <v>45</v>
      </c>
      <c r="H19" s="76" t="s">
        <v>45</v>
      </c>
      <c r="I19" s="131">
        <f>IF(F19="N/A",4,F19)+IF(G19="N/A",3,G19)+IF(H19="N/A",3,H19)</f>
        <v>10</v>
      </c>
      <c r="J19" s="1"/>
      <c r="K19" s="1"/>
      <c r="L19" s="2"/>
      <c r="M19" s="2"/>
      <c r="N19" s="2"/>
    </row>
    <row r="20" spans="1:14" x14ac:dyDescent="0.3">
      <c r="A20" s="133" t="s">
        <v>92</v>
      </c>
      <c r="B20" s="134"/>
      <c r="C20" s="134"/>
      <c r="D20" s="134"/>
      <c r="E20" s="135"/>
      <c r="F20" s="96"/>
      <c r="G20" s="98"/>
      <c r="H20" s="97"/>
      <c r="I20" s="132"/>
      <c r="J20" s="1"/>
      <c r="K20" s="1"/>
      <c r="L20" s="2"/>
      <c r="M20" s="2"/>
      <c r="N20" s="2"/>
    </row>
    <row r="21" spans="1:14" ht="15.6" x14ac:dyDescent="0.3">
      <c r="A21" s="125" t="s">
        <v>93</v>
      </c>
      <c r="B21" s="126"/>
      <c r="C21" s="126"/>
      <c r="D21" s="127"/>
      <c r="E21" s="22">
        <f>E9+E11+E13+E15+E17+E19</f>
        <v>60</v>
      </c>
      <c r="F21" s="2"/>
      <c r="G21" s="2"/>
      <c r="H21" s="23" t="s">
        <v>58</v>
      </c>
      <c r="I21" s="22">
        <f>SUM(I9:I20)</f>
        <v>37</v>
      </c>
      <c r="J21" s="1"/>
      <c r="K21" s="1"/>
      <c r="L21" s="2"/>
      <c r="M21" s="2"/>
      <c r="N21" s="2"/>
    </row>
    <row r="22" spans="1:14" x14ac:dyDescent="0.3">
      <c r="A22" s="139" t="s">
        <v>59</v>
      </c>
      <c r="B22" s="139"/>
      <c r="C22" s="139"/>
      <c r="D22" s="139"/>
      <c r="E22" s="139"/>
      <c r="F22" s="139"/>
      <c r="G22" s="139"/>
      <c r="H22" s="139"/>
      <c r="I22" s="139"/>
      <c r="J22" s="1"/>
      <c r="K22" s="1"/>
      <c r="L22" s="2"/>
      <c r="M22" s="2"/>
      <c r="N22" s="2"/>
    </row>
    <row r="23" spans="1:14" ht="28.2" x14ac:dyDescent="0.35">
      <c r="A23" s="7"/>
      <c r="B23" s="7"/>
      <c r="C23" s="7"/>
      <c r="D23" s="24" t="s">
        <v>60</v>
      </c>
      <c r="E23" s="140"/>
      <c r="F23" s="141"/>
      <c r="G23" s="91"/>
      <c r="H23" s="91"/>
      <c r="I23" s="142" t="s">
        <v>61</v>
      </c>
      <c r="J23" s="10"/>
      <c r="K23" s="1"/>
      <c r="L23" s="2"/>
      <c r="M23" s="2"/>
      <c r="N23" s="2"/>
    </row>
    <row r="24" spans="1:14" ht="18" x14ac:dyDescent="0.35">
      <c r="A24" s="7"/>
      <c r="B24" s="7"/>
      <c r="C24" s="7"/>
      <c r="D24" s="24" t="s">
        <v>62</v>
      </c>
      <c r="E24" s="145"/>
      <c r="F24" s="146"/>
      <c r="G24" s="92"/>
      <c r="H24" s="92"/>
      <c r="I24" s="143"/>
      <c r="J24" s="10"/>
      <c r="K24" s="1"/>
      <c r="L24" s="2"/>
      <c r="M24" s="2"/>
      <c r="N24" s="2"/>
    </row>
    <row r="25" spans="1:14" ht="15.6" x14ac:dyDescent="0.3">
      <c r="A25" s="147" t="s">
        <v>63</v>
      </c>
      <c r="B25" s="148"/>
      <c r="C25" s="148"/>
      <c r="D25" s="149"/>
      <c r="E25" s="150" t="s">
        <v>64</v>
      </c>
      <c r="F25" s="151"/>
      <c r="G25" s="151"/>
      <c r="H25" s="152"/>
      <c r="I25" s="144"/>
      <c r="J25" s="1"/>
      <c r="K25" s="1"/>
      <c r="L25" s="2"/>
      <c r="M25" s="2"/>
      <c r="N25" s="2"/>
    </row>
    <row r="26" spans="1:14" ht="24.6" customHeight="1" x14ac:dyDescent="0.3">
      <c r="A26" s="119" t="s">
        <v>94</v>
      </c>
      <c r="B26" s="120"/>
      <c r="C26" s="120"/>
      <c r="D26" s="121"/>
      <c r="E26" s="122"/>
      <c r="F26" s="123"/>
      <c r="G26" s="93"/>
      <c r="H26" s="92"/>
      <c r="I26" s="94"/>
      <c r="J26" s="2"/>
      <c r="K26" s="2"/>
      <c r="L26" s="2"/>
      <c r="M26" s="2"/>
      <c r="N26" s="2"/>
    </row>
    <row r="27" spans="1:14" ht="24.6" customHeight="1" x14ac:dyDescent="0.3">
      <c r="A27" s="119" t="s">
        <v>95</v>
      </c>
      <c r="B27" s="120"/>
      <c r="C27" s="120"/>
      <c r="D27" s="121"/>
      <c r="E27" s="122"/>
      <c r="F27" s="123"/>
      <c r="G27" s="93"/>
      <c r="H27" s="92"/>
      <c r="I27" s="94"/>
      <c r="J27" s="2"/>
      <c r="K27" s="2"/>
      <c r="L27" s="2"/>
      <c r="M27" s="2"/>
      <c r="N27" s="2"/>
    </row>
    <row r="28" spans="1:14" ht="24.6" customHeight="1" x14ac:dyDescent="0.3">
      <c r="A28" s="119" t="s">
        <v>96</v>
      </c>
      <c r="B28" s="120"/>
      <c r="C28" s="120"/>
      <c r="D28" s="121"/>
      <c r="E28" s="122"/>
      <c r="F28" s="123"/>
      <c r="G28" s="93"/>
      <c r="H28" s="92"/>
      <c r="I28" s="94"/>
      <c r="J28" s="2"/>
      <c r="K28" s="2"/>
      <c r="L28" s="2"/>
      <c r="M28" s="2"/>
      <c r="N28" s="2"/>
    </row>
    <row r="29" spans="1:14" ht="35.4" customHeight="1" x14ac:dyDescent="0.3">
      <c r="A29" s="119" t="s">
        <v>97</v>
      </c>
      <c r="B29" s="120"/>
      <c r="C29" s="120"/>
      <c r="D29" s="121"/>
      <c r="E29" s="122"/>
      <c r="F29" s="123"/>
      <c r="G29" s="93"/>
      <c r="H29" s="93"/>
      <c r="I29" s="94"/>
      <c r="J29" s="2"/>
      <c r="K29" s="2"/>
      <c r="L29" s="2"/>
      <c r="M29" s="2"/>
      <c r="N29" s="2"/>
    </row>
    <row r="30" spans="1:14" x14ac:dyDescent="0.3">
      <c r="A30" s="119" t="s">
        <v>98</v>
      </c>
      <c r="B30" s="120"/>
      <c r="C30" s="120"/>
      <c r="D30" s="121"/>
      <c r="E30" s="122"/>
      <c r="F30" s="123"/>
      <c r="G30" s="93"/>
      <c r="H30" s="93"/>
      <c r="I30" s="94"/>
      <c r="J30" s="2"/>
      <c r="K30" s="2"/>
      <c r="L30" s="2"/>
      <c r="M30" s="2"/>
      <c r="N30" s="2"/>
    </row>
    <row r="31" spans="1:14" x14ac:dyDescent="0.3">
      <c r="A31" s="124"/>
      <c r="B31" s="124"/>
      <c r="C31" s="1"/>
      <c r="D31" s="1"/>
      <c r="E31" s="3"/>
      <c r="F31" s="1"/>
      <c r="G31" s="1"/>
      <c r="H31" s="1"/>
      <c r="I31" s="3"/>
      <c r="J31" s="2"/>
      <c r="K31" s="2"/>
      <c r="L31" s="2"/>
      <c r="M31" s="2"/>
      <c r="N31" s="2"/>
    </row>
    <row r="32" spans="1:14" x14ac:dyDescent="0.3">
      <c r="A32" s="118"/>
      <c r="B32" s="118"/>
      <c r="C32" s="1"/>
      <c r="D32" s="1"/>
      <c r="E32" s="3"/>
      <c r="F32" s="1"/>
      <c r="G32" s="1"/>
      <c r="H32" s="1"/>
      <c r="I32" s="3"/>
      <c r="J32" s="2"/>
      <c r="K32" s="2"/>
      <c r="L32" s="2"/>
      <c r="M32" s="2"/>
      <c r="N32" s="2"/>
    </row>
    <row r="33" spans="1:14" x14ac:dyDescent="0.3">
      <c r="A33" s="118"/>
      <c r="B33" s="118"/>
      <c r="C33" s="1"/>
      <c r="D33" s="1"/>
      <c r="E33" s="3"/>
      <c r="F33" s="1"/>
      <c r="G33" s="1"/>
      <c r="H33" s="1"/>
      <c r="I33" s="3"/>
      <c r="J33" s="2"/>
      <c r="K33" s="2"/>
      <c r="L33" s="2"/>
      <c r="M33" s="2"/>
      <c r="N33" s="2"/>
    </row>
    <row r="34" spans="1:14" x14ac:dyDescent="0.3">
      <c r="A34" s="118"/>
      <c r="B34" s="118"/>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21:D21"/>
    <mergeCell ref="A15:D15"/>
    <mergeCell ref="I15:I16"/>
    <mergeCell ref="A16:E16"/>
    <mergeCell ref="A17:D17"/>
    <mergeCell ref="I17:I18"/>
    <mergeCell ref="A18:E18"/>
    <mergeCell ref="A19:D19"/>
    <mergeCell ref="I19:I20"/>
    <mergeCell ref="A20:E20"/>
    <mergeCell ref="A22:I22"/>
    <mergeCell ref="A26:D26"/>
    <mergeCell ref="E26:F26"/>
    <mergeCell ref="A27:D27"/>
    <mergeCell ref="E27:F27"/>
    <mergeCell ref="E23:F23"/>
    <mergeCell ref="I23:I25"/>
    <mergeCell ref="E24:F24"/>
    <mergeCell ref="A25:D25"/>
    <mergeCell ref="E25:H25"/>
    <mergeCell ref="A28:D28"/>
    <mergeCell ref="E28:F28"/>
    <mergeCell ref="A33:B33"/>
    <mergeCell ref="A34:B34"/>
    <mergeCell ref="A29:D29"/>
    <mergeCell ref="E29:F29"/>
    <mergeCell ref="A30:D30"/>
    <mergeCell ref="E30:F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topLeftCell="A14" workbookViewId="0">
      <selection activeCell="F36" sqref="F36:H36"/>
    </sheetView>
  </sheetViews>
  <sheetFormatPr defaultRowHeight="14.4" x14ac:dyDescent="0.3"/>
  <cols>
    <col min="1" max="2" width="12.5546875" customWidth="1"/>
    <col min="3" max="3" width="12.33203125" customWidth="1"/>
    <col min="4" max="4" width="12.5546875" customWidth="1"/>
    <col min="5" max="5" width="29.5546875" customWidth="1"/>
    <col min="6" max="8" width="30.33203125" customWidth="1"/>
  </cols>
  <sheetData>
    <row r="1" spans="1:13" x14ac:dyDescent="0.3">
      <c r="A1" s="2" t="s">
        <v>21</v>
      </c>
      <c r="B1" s="153">
        <v>45870</v>
      </c>
      <c r="C1" s="154"/>
      <c r="D1" s="154"/>
      <c r="E1" s="154"/>
      <c r="F1" s="2"/>
      <c r="G1" s="4" t="s">
        <v>22</v>
      </c>
      <c r="H1" s="95" t="s">
        <v>99</v>
      </c>
      <c r="I1" s="5"/>
      <c r="J1" s="2"/>
      <c r="K1" s="2"/>
      <c r="L1" s="2"/>
      <c r="M1" s="2"/>
    </row>
    <row r="2" spans="1:13" x14ac:dyDescent="0.3">
      <c r="A2" s="155"/>
      <c r="B2" s="155"/>
      <c r="C2" s="2"/>
      <c r="D2" s="2"/>
      <c r="E2" s="5"/>
      <c r="F2" s="2"/>
      <c r="G2" s="2"/>
      <c r="H2" s="2"/>
      <c r="I2" s="5"/>
      <c r="J2" s="2"/>
      <c r="K2" s="2"/>
      <c r="L2" s="2"/>
      <c r="M2" s="2"/>
    </row>
    <row r="3" spans="1:13" ht="18" x14ac:dyDescent="0.35">
      <c r="A3" s="6"/>
      <c r="B3" s="6"/>
      <c r="C3" s="6"/>
      <c r="D3" s="6"/>
      <c r="E3" s="7"/>
      <c r="F3" s="7"/>
      <c r="G3" s="7"/>
      <c r="H3" s="7"/>
      <c r="I3" s="7"/>
      <c r="J3" s="7"/>
      <c r="K3" s="2"/>
      <c r="L3" s="2"/>
      <c r="M3" s="2"/>
    </row>
    <row r="4" spans="1:13" x14ac:dyDescent="0.3">
      <c r="A4" s="156" t="s">
        <v>100</v>
      </c>
      <c r="B4" s="157"/>
      <c r="C4" s="157"/>
      <c r="D4" s="158"/>
      <c r="E4" s="8" t="s">
        <v>24</v>
      </c>
      <c r="F4" s="86" t="s">
        <v>101</v>
      </c>
      <c r="G4" s="87" t="s">
        <v>102</v>
      </c>
      <c r="H4" s="88" t="s">
        <v>103</v>
      </c>
      <c r="I4" s="5"/>
      <c r="J4" s="10"/>
      <c r="K4" s="2"/>
      <c r="L4" s="2"/>
      <c r="M4" s="2"/>
    </row>
    <row r="5" spans="1:13" x14ac:dyDescent="0.3">
      <c r="A5" s="159"/>
      <c r="B5" s="160"/>
      <c r="C5" s="160"/>
      <c r="D5" s="161"/>
      <c r="E5" s="9" t="s">
        <v>28</v>
      </c>
      <c r="F5" s="94" t="s">
        <v>104</v>
      </c>
      <c r="G5" s="94" t="s">
        <v>105</v>
      </c>
      <c r="H5" s="94" t="s">
        <v>105</v>
      </c>
      <c r="I5" s="5"/>
      <c r="J5" s="10"/>
      <c r="K5" s="2"/>
      <c r="L5" s="2"/>
      <c r="M5" s="2"/>
    </row>
    <row r="6" spans="1:13" x14ac:dyDescent="0.3">
      <c r="A6" s="159"/>
      <c r="B6" s="160"/>
      <c r="C6" s="160"/>
      <c r="D6" s="161"/>
      <c r="E6" s="14" t="s">
        <v>106</v>
      </c>
      <c r="F6" s="94" t="s">
        <v>105</v>
      </c>
      <c r="G6" s="94" t="s">
        <v>105</v>
      </c>
      <c r="H6" s="94" t="s">
        <v>105</v>
      </c>
      <c r="I6" s="64"/>
      <c r="J6" s="12"/>
      <c r="K6" s="12"/>
      <c r="L6" s="12"/>
      <c r="M6" s="12"/>
    </row>
    <row r="7" spans="1:13" x14ac:dyDescent="0.3">
      <c r="A7" s="162"/>
      <c r="B7" s="163"/>
      <c r="C7" s="163"/>
      <c r="D7" s="164"/>
      <c r="E7" s="14" t="s">
        <v>107</v>
      </c>
      <c r="F7" s="89" t="s">
        <v>108</v>
      </c>
      <c r="G7" s="89" t="s">
        <v>109</v>
      </c>
      <c r="H7" s="89" t="s">
        <v>110</v>
      </c>
      <c r="I7" s="64"/>
      <c r="J7" s="12"/>
      <c r="K7" s="12"/>
      <c r="L7" s="12"/>
      <c r="M7" s="12"/>
    </row>
    <row r="8" spans="1:13" ht="78.599999999999994" customHeight="1" x14ac:dyDescent="0.3">
      <c r="A8" s="165" t="s">
        <v>111</v>
      </c>
      <c r="B8" s="166"/>
      <c r="C8" s="166"/>
      <c r="D8" s="167"/>
      <c r="E8" s="16" t="s">
        <v>38</v>
      </c>
      <c r="F8" s="165" t="s">
        <v>39</v>
      </c>
      <c r="G8" s="166"/>
      <c r="H8" s="167"/>
      <c r="I8" s="16" t="s">
        <v>40</v>
      </c>
      <c r="J8" s="17"/>
      <c r="K8" s="17"/>
      <c r="L8" s="18"/>
      <c r="M8" s="18"/>
    </row>
    <row r="9" spans="1:13" ht="66.75" customHeight="1" x14ac:dyDescent="0.3">
      <c r="A9" s="128" t="s">
        <v>112</v>
      </c>
      <c r="B9" s="129"/>
      <c r="C9" s="129"/>
      <c r="D9" s="130"/>
      <c r="E9" s="15">
        <v>10</v>
      </c>
      <c r="F9" s="76">
        <v>4</v>
      </c>
      <c r="G9" s="76">
        <v>3</v>
      </c>
      <c r="H9" s="76">
        <v>3</v>
      </c>
      <c r="I9" s="131">
        <f>IF(F9="N/A",4,F9)+IF(G9="N/A",3,G9)+IF(H9="N/A",3,H9)</f>
        <v>10</v>
      </c>
      <c r="J9" s="10"/>
      <c r="K9" s="6"/>
      <c r="L9" s="6"/>
      <c r="M9" s="6"/>
    </row>
    <row r="10" spans="1:13" ht="110.4" x14ac:dyDescent="0.3">
      <c r="A10" s="133" t="s">
        <v>42</v>
      </c>
      <c r="B10" s="134"/>
      <c r="C10" s="134"/>
      <c r="D10" s="134"/>
      <c r="E10" s="135"/>
      <c r="F10" s="90" t="s">
        <v>113</v>
      </c>
      <c r="G10" s="90"/>
      <c r="H10" s="90"/>
      <c r="I10" s="132"/>
      <c r="J10" s="1"/>
      <c r="K10" s="6"/>
      <c r="L10" s="6"/>
      <c r="M10" s="6"/>
    </row>
    <row r="11" spans="1:13" ht="48.75" customHeight="1" x14ac:dyDescent="0.3">
      <c r="A11" s="128" t="s">
        <v>114</v>
      </c>
      <c r="B11" s="129"/>
      <c r="C11" s="129"/>
      <c r="D11" s="130"/>
      <c r="E11" s="19">
        <v>10</v>
      </c>
      <c r="F11" s="76">
        <v>4</v>
      </c>
      <c r="G11" s="76">
        <v>3</v>
      </c>
      <c r="H11" s="76">
        <v>0</v>
      </c>
      <c r="I11" s="131">
        <f>IF(F11="N/A",4,F11)+IF(G11="N/A",3,G11)+IF(H11="N/A",3,H11)</f>
        <v>7</v>
      </c>
      <c r="J11" s="1"/>
      <c r="K11" s="6"/>
      <c r="L11" s="6"/>
      <c r="M11" s="6"/>
    </row>
    <row r="12" spans="1:13" ht="110.4" x14ac:dyDescent="0.3">
      <c r="A12" s="133" t="s">
        <v>46</v>
      </c>
      <c r="B12" s="134"/>
      <c r="C12" s="134"/>
      <c r="D12" s="134"/>
      <c r="E12" s="135"/>
      <c r="F12" s="90"/>
      <c r="G12" s="90"/>
      <c r="H12" s="90" t="s">
        <v>115</v>
      </c>
      <c r="I12" s="132"/>
      <c r="J12" s="1"/>
      <c r="K12" s="6"/>
      <c r="L12" s="6"/>
      <c r="M12" s="6"/>
    </row>
    <row r="13" spans="1:13" ht="87" customHeight="1" x14ac:dyDescent="0.3">
      <c r="A13" s="128" t="s">
        <v>116</v>
      </c>
      <c r="B13" s="129"/>
      <c r="C13" s="129"/>
      <c r="D13" s="130"/>
      <c r="E13" s="19">
        <v>10</v>
      </c>
      <c r="F13" s="76">
        <v>0</v>
      </c>
      <c r="G13" s="76">
        <v>0</v>
      </c>
      <c r="H13" s="76">
        <v>0</v>
      </c>
      <c r="I13" s="131">
        <f>IF(F13="N/A",4,F13)+IF(G13="N/A",3,G13)+IF(H13="N/A",3,H13)</f>
        <v>0</v>
      </c>
      <c r="J13" s="1"/>
      <c r="K13" s="6"/>
      <c r="L13" s="6"/>
      <c r="M13" s="6"/>
    </row>
    <row r="14" spans="1:13" ht="345" x14ac:dyDescent="0.3">
      <c r="A14" s="133" t="s">
        <v>49</v>
      </c>
      <c r="B14" s="134"/>
      <c r="C14" s="134"/>
      <c r="D14" s="134"/>
      <c r="E14" s="135"/>
      <c r="F14" s="90" t="s">
        <v>117</v>
      </c>
      <c r="G14" s="90" t="s">
        <v>118</v>
      </c>
      <c r="H14" s="90" t="s">
        <v>119</v>
      </c>
      <c r="I14" s="132"/>
      <c r="J14" s="1"/>
      <c r="K14" s="6"/>
      <c r="L14" s="6"/>
      <c r="M14" s="6"/>
    </row>
    <row r="15" spans="1:13" ht="48.75" customHeight="1" x14ac:dyDescent="0.3">
      <c r="A15" s="128" t="s">
        <v>120</v>
      </c>
      <c r="B15" s="129"/>
      <c r="C15" s="129"/>
      <c r="D15" s="130"/>
      <c r="E15" s="19">
        <v>10</v>
      </c>
      <c r="F15" s="76">
        <v>4</v>
      </c>
      <c r="G15" s="76">
        <v>3</v>
      </c>
      <c r="H15" s="76">
        <v>3</v>
      </c>
      <c r="I15" s="131">
        <f>IF(F15="N/A",4,F15)+IF(G15="N/A",3,G15)+IF(H15="N/A",3,H15)</f>
        <v>10</v>
      </c>
      <c r="J15" s="1"/>
      <c r="K15" s="1"/>
      <c r="L15" s="2"/>
      <c r="M15" s="2"/>
    </row>
    <row r="16" spans="1:13" x14ac:dyDescent="0.3">
      <c r="A16" s="133" t="s">
        <v>54</v>
      </c>
      <c r="B16" s="134"/>
      <c r="C16" s="134"/>
      <c r="D16" s="134"/>
      <c r="E16" s="135"/>
      <c r="F16" s="90"/>
      <c r="G16" s="90"/>
      <c r="H16" s="90"/>
      <c r="I16" s="132"/>
      <c r="J16" s="1"/>
      <c r="K16" s="1"/>
      <c r="L16" s="2"/>
      <c r="M16" s="2"/>
    </row>
    <row r="17" spans="1:13" ht="74.25" customHeight="1" x14ac:dyDescent="0.3">
      <c r="A17" s="128" t="s">
        <v>121</v>
      </c>
      <c r="B17" s="129"/>
      <c r="C17" s="129"/>
      <c r="D17" s="130"/>
      <c r="E17" s="19">
        <v>10</v>
      </c>
      <c r="F17" s="76" t="s">
        <v>45</v>
      </c>
      <c r="G17" s="76" t="s">
        <v>45</v>
      </c>
      <c r="H17" s="76" t="s">
        <v>45</v>
      </c>
      <c r="I17" s="131">
        <f>IF(F17="N/A",4,F17)+IF(G17="N/A",3,G17)+IF(H17="N/A",3,H17)</f>
        <v>10</v>
      </c>
      <c r="J17" s="1"/>
      <c r="K17" s="1"/>
      <c r="L17" s="2"/>
      <c r="M17" s="2"/>
    </row>
    <row r="18" spans="1:13" x14ac:dyDescent="0.3">
      <c r="A18" s="133" t="s">
        <v>56</v>
      </c>
      <c r="B18" s="134"/>
      <c r="C18" s="134"/>
      <c r="D18" s="134"/>
      <c r="E18" s="135"/>
      <c r="F18" s="90"/>
      <c r="G18" s="90"/>
      <c r="H18" s="90"/>
      <c r="I18" s="132"/>
      <c r="J18" s="1"/>
      <c r="K18" s="1"/>
      <c r="L18" s="2"/>
      <c r="M18" s="2"/>
    </row>
    <row r="19" spans="1:13" ht="41.4" x14ac:dyDescent="0.3">
      <c r="A19" s="166" t="s">
        <v>122</v>
      </c>
      <c r="B19" s="166"/>
      <c r="C19" s="166"/>
      <c r="D19" s="167"/>
      <c r="E19" s="16" t="s">
        <v>38</v>
      </c>
      <c r="F19" s="165" t="s">
        <v>123</v>
      </c>
      <c r="G19" s="166"/>
      <c r="H19" s="167"/>
      <c r="I19" s="16" t="s">
        <v>40</v>
      </c>
      <c r="J19" s="20"/>
      <c r="K19" s="1"/>
      <c r="L19" s="2"/>
      <c r="M19" s="2"/>
    </row>
    <row r="20" spans="1:13" ht="60" customHeight="1" x14ac:dyDescent="0.3">
      <c r="A20" s="128" t="s">
        <v>124</v>
      </c>
      <c r="B20" s="129"/>
      <c r="C20" s="129"/>
      <c r="D20" s="130"/>
      <c r="E20" s="19">
        <v>10</v>
      </c>
      <c r="F20" s="122">
        <v>0</v>
      </c>
      <c r="G20" s="171"/>
      <c r="H20" s="123"/>
      <c r="I20" s="131">
        <f>IF(F20="N/A",10,F20)</f>
        <v>0</v>
      </c>
      <c r="J20" s="1"/>
      <c r="K20" s="1"/>
      <c r="L20" s="2"/>
      <c r="M20" s="2"/>
    </row>
    <row r="21" spans="1:13" x14ac:dyDescent="0.3">
      <c r="A21" s="133" t="s">
        <v>92</v>
      </c>
      <c r="B21" s="134"/>
      <c r="C21" s="134"/>
      <c r="D21" s="134"/>
      <c r="E21" s="135"/>
      <c r="F21" s="136" t="s">
        <v>125</v>
      </c>
      <c r="G21" s="137"/>
      <c r="H21" s="138"/>
      <c r="I21" s="132"/>
      <c r="J21" s="1"/>
      <c r="K21" s="1"/>
      <c r="L21" s="2"/>
      <c r="M21" s="2"/>
    </row>
    <row r="22" spans="1:13" ht="74.25" customHeight="1" x14ac:dyDescent="0.3">
      <c r="A22" s="129" t="s">
        <v>126</v>
      </c>
      <c r="B22" s="129"/>
      <c r="C22" s="129"/>
      <c r="D22" s="130"/>
      <c r="E22" s="11">
        <v>10</v>
      </c>
      <c r="F22" s="122">
        <v>10</v>
      </c>
      <c r="G22" s="171"/>
      <c r="H22" s="123"/>
      <c r="I22" s="131">
        <f>IF(F22="N/A",10,F22)</f>
        <v>10</v>
      </c>
      <c r="J22" s="1"/>
      <c r="K22" s="1"/>
      <c r="L22" s="2"/>
      <c r="M22" s="2"/>
    </row>
    <row r="23" spans="1:13" x14ac:dyDescent="0.3">
      <c r="A23" s="133" t="s">
        <v>127</v>
      </c>
      <c r="B23" s="134"/>
      <c r="C23" s="134"/>
      <c r="D23" s="134"/>
      <c r="E23" s="135"/>
      <c r="F23" s="136"/>
      <c r="G23" s="137"/>
      <c r="H23" s="138"/>
      <c r="I23" s="132"/>
      <c r="J23" s="1"/>
      <c r="K23" s="1"/>
      <c r="L23" s="2"/>
      <c r="M23" s="2"/>
    </row>
    <row r="24" spans="1:13" ht="63.75" customHeight="1" x14ac:dyDescent="0.3">
      <c r="A24" s="128" t="s">
        <v>128</v>
      </c>
      <c r="B24" s="129"/>
      <c r="C24" s="129"/>
      <c r="D24" s="130"/>
      <c r="E24" s="21">
        <v>10</v>
      </c>
      <c r="F24" s="122">
        <v>10</v>
      </c>
      <c r="G24" s="171"/>
      <c r="H24" s="123"/>
      <c r="I24" s="131">
        <f>IF(F24="N/A",10,F24)</f>
        <v>10</v>
      </c>
      <c r="J24" s="1"/>
      <c r="K24" s="1"/>
      <c r="L24" s="2"/>
      <c r="M24" s="2"/>
    </row>
    <row r="25" spans="1:13" x14ac:dyDescent="0.3">
      <c r="A25" s="133" t="s">
        <v>129</v>
      </c>
      <c r="B25" s="134"/>
      <c r="C25" s="134"/>
      <c r="D25" s="134"/>
      <c r="E25" s="135"/>
      <c r="F25" s="136"/>
      <c r="G25" s="137"/>
      <c r="H25" s="138"/>
      <c r="I25" s="132"/>
      <c r="J25" s="1"/>
      <c r="K25" s="1"/>
      <c r="L25" s="2"/>
      <c r="M25" s="2"/>
    </row>
    <row r="26" spans="1:13" ht="72" customHeight="1" x14ac:dyDescent="0.3">
      <c r="A26" s="129" t="s">
        <v>130</v>
      </c>
      <c r="B26" s="129"/>
      <c r="C26" s="129"/>
      <c r="D26" s="130"/>
      <c r="E26" s="11">
        <v>10</v>
      </c>
      <c r="F26" s="122">
        <v>10</v>
      </c>
      <c r="G26" s="171"/>
      <c r="H26" s="123"/>
      <c r="I26" s="131">
        <f>IF(F26="N/A",10,F26)</f>
        <v>10</v>
      </c>
      <c r="J26" s="1"/>
      <c r="K26" s="1"/>
      <c r="L26" s="2"/>
      <c r="M26" s="2"/>
    </row>
    <row r="27" spans="1:13" x14ac:dyDescent="0.3">
      <c r="A27" s="133" t="s">
        <v>131</v>
      </c>
      <c r="B27" s="134"/>
      <c r="C27" s="134"/>
      <c r="D27" s="134"/>
      <c r="E27" s="135"/>
      <c r="F27" s="136"/>
      <c r="G27" s="137"/>
      <c r="H27" s="138"/>
      <c r="I27" s="132"/>
      <c r="J27" s="1"/>
      <c r="K27" s="1"/>
      <c r="L27" s="2"/>
      <c r="M27" s="2"/>
    </row>
    <row r="28" spans="1:13" ht="72.75" customHeight="1" x14ac:dyDescent="0.3">
      <c r="A28" s="129" t="s">
        <v>132</v>
      </c>
      <c r="B28" s="129"/>
      <c r="C28" s="129"/>
      <c r="D28" s="130"/>
      <c r="E28" s="11">
        <v>10</v>
      </c>
      <c r="F28" s="122">
        <v>10</v>
      </c>
      <c r="G28" s="171"/>
      <c r="H28" s="123"/>
      <c r="I28" s="131">
        <f>IF(F28="N/A",10,F28)</f>
        <v>10</v>
      </c>
      <c r="J28" s="1"/>
      <c r="K28" s="1"/>
      <c r="L28" s="2"/>
      <c r="M28" s="2"/>
    </row>
    <row r="29" spans="1:13" x14ac:dyDescent="0.3">
      <c r="A29" s="133" t="s">
        <v>133</v>
      </c>
      <c r="B29" s="134"/>
      <c r="C29" s="134"/>
      <c r="D29" s="134"/>
      <c r="E29" s="135"/>
      <c r="F29" s="136"/>
      <c r="G29" s="137"/>
      <c r="H29" s="138"/>
      <c r="I29" s="132"/>
      <c r="J29" s="1"/>
      <c r="K29" s="1"/>
      <c r="L29" s="2"/>
      <c r="M29" s="2"/>
    </row>
    <row r="30" spans="1:13" ht="60.75" customHeight="1" x14ac:dyDescent="0.3">
      <c r="A30" s="129" t="s">
        <v>134</v>
      </c>
      <c r="B30" s="129"/>
      <c r="C30" s="129"/>
      <c r="D30" s="130"/>
      <c r="E30" s="11">
        <v>10</v>
      </c>
      <c r="F30" s="122">
        <v>10</v>
      </c>
      <c r="G30" s="171"/>
      <c r="H30" s="123"/>
      <c r="I30" s="131">
        <f>IF(F30="N/A",10,F30)</f>
        <v>10</v>
      </c>
      <c r="J30" s="1"/>
      <c r="K30" s="1"/>
      <c r="L30" s="2"/>
      <c r="M30" s="2"/>
    </row>
    <row r="31" spans="1:13" x14ac:dyDescent="0.3">
      <c r="A31" s="133" t="s">
        <v>135</v>
      </c>
      <c r="B31" s="134"/>
      <c r="C31" s="134"/>
      <c r="D31" s="134"/>
      <c r="E31" s="135"/>
      <c r="F31" s="136"/>
      <c r="G31" s="137"/>
      <c r="H31" s="138"/>
      <c r="I31" s="132"/>
      <c r="J31" s="1"/>
      <c r="K31" s="1"/>
      <c r="L31" s="2"/>
      <c r="M31" s="2"/>
    </row>
    <row r="32" spans="1:13" ht="57" customHeight="1" x14ac:dyDescent="0.3">
      <c r="A32" s="129" t="s">
        <v>136</v>
      </c>
      <c r="B32" s="129"/>
      <c r="C32" s="129"/>
      <c r="D32" s="130"/>
      <c r="E32" s="11">
        <v>10</v>
      </c>
      <c r="F32" s="122">
        <v>10</v>
      </c>
      <c r="G32" s="171"/>
      <c r="H32" s="123"/>
      <c r="I32" s="131">
        <f>IF(F32="N/A",10,F32)</f>
        <v>10</v>
      </c>
      <c r="J32" s="1"/>
      <c r="K32" s="1"/>
      <c r="L32" s="2"/>
      <c r="M32" s="2"/>
    </row>
    <row r="33" spans="1:13" x14ac:dyDescent="0.3">
      <c r="A33" s="133" t="s">
        <v>137</v>
      </c>
      <c r="B33" s="134"/>
      <c r="C33" s="134"/>
      <c r="D33" s="134"/>
      <c r="E33" s="135"/>
      <c r="F33" s="136"/>
      <c r="G33" s="137"/>
      <c r="H33" s="138"/>
      <c r="I33" s="132"/>
      <c r="J33" s="1"/>
      <c r="K33" s="1"/>
      <c r="L33" s="2"/>
      <c r="M33" s="2"/>
    </row>
    <row r="34" spans="1:13" ht="15.6" x14ac:dyDescent="0.3">
      <c r="A34" s="172" t="s">
        <v>138</v>
      </c>
      <c r="B34" s="173"/>
      <c r="C34" s="173"/>
      <c r="D34" s="174"/>
      <c r="E34" s="22">
        <f>E9+E11+E13+E15+E17+E20+E22+E24+E26+E28+E30+E32+E36</f>
        <v>130</v>
      </c>
      <c r="F34" s="2"/>
      <c r="G34" s="2"/>
      <c r="H34" s="23" t="s">
        <v>58</v>
      </c>
      <c r="I34" s="22">
        <f>SUM(I9:I18)+SUM(I20:I33)+I36</f>
        <v>107</v>
      </c>
      <c r="J34" s="1"/>
      <c r="K34" s="1"/>
      <c r="L34" s="2"/>
      <c r="M34" s="2"/>
    </row>
    <row r="35" spans="1:13" x14ac:dyDescent="0.3">
      <c r="A35" s="139" t="s">
        <v>59</v>
      </c>
      <c r="B35" s="139"/>
      <c r="C35" s="139"/>
      <c r="D35" s="139"/>
      <c r="E35" s="139"/>
      <c r="F35" s="139"/>
      <c r="G35" s="139"/>
      <c r="H35" s="139"/>
      <c r="I35" s="139"/>
      <c r="J35" s="1"/>
      <c r="K35" s="1"/>
      <c r="L35" s="2"/>
      <c r="M35" s="2"/>
    </row>
    <row r="36" spans="1:13" ht="73.5" customHeight="1" x14ac:dyDescent="0.3">
      <c r="A36" s="129" t="s">
        <v>139</v>
      </c>
      <c r="B36" s="129"/>
      <c r="C36" s="129"/>
      <c r="D36" s="130"/>
      <c r="E36" s="11">
        <v>10</v>
      </c>
      <c r="F36" s="122">
        <v>10</v>
      </c>
      <c r="G36" s="171"/>
      <c r="H36" s="123"/>
      <c r="I36" s="131">
        <f>IF(F36="N/A",10,F36)</f>
        <v>10</v>
      </c>
      <c r="J36" s="1"/>
      <c r="K36" s="1"/>
      <c r="L36" s="2"/>
      <c r="M36" s="2"/>
    </row>
    <row r="37" spans="1:13" x14ac:dyDescent="0.3">
      <c r="A37" s="133" t="s">
        <v>140</v>
      </c>
      <c r="B37" s="134"/>
      <c r="C37" s="134"/>
      <c r="D37" s="134"/>
      <c r="E37" s="135"/>
      <c r="F37" s="136"/>
      <c r="G37" s="137"/>
      <c r="H37" s="138"/>
      <c r="I37" s="132"/>
      <c r="J37" s="1"/>
      <c r="K37" s="1"/>
      <c r="L37" s="2"/>
      <c r="M37" s="2"/>
    </row>
    <row r="38" spans="1:13" x14ac:dyDescent="0.3">
      <c r="A38" s="139" t="s">
        <v>59</v>
      </c>
      <c r="B38" s="139"/>
      <c r="C38" s="139"/>
      <c r="D38" s="139"/>
      <c r="E38" s="139"/>
      <c r="F38" s="139"/>
      <c r="G38" s="139"/>
      <c r="H38" s="139"/>
      <c r="I38" s="139"/>
      <c r="J38" s="1"/>
      <c r="K38" s="1"/>
      <c r="L38" s="2"/>
      <c r="M38" s="2"/>
    </row>
    <row r="39" spans="1:13" ht="28.2" x14ac:dyDescent="0.35">
      <c r="A39" s="7"/>
      <c r="B39" s="7"/>
      <c r="C39" s="7"/>
      <c r="D39" s="24" t="s">
        <v>60</v>
      </c>
      <c r="E39" s="175"/>
      <c r="F39" s="176"/>
      <c r="G39" s="87"/>
      <c r="H39" s="87"/>
      <c r="I39" s="142" t="s">
        <v>61</v>
      </c>
      <c r="J39" s="1"/>
      <c r="K39" s="1"/>
      <c r="L39" s="2"/>
      <c r="M39" s="2"/>
    </row>
    <row r="40" spans="1:13" ht="18" x14ac:dyDescent="0.35">
      <c r="A40" s="7"/>
      <c r="B40" s="7"/>
      <c r="C40" s="7"/>
      <c r="D40" s="24" t="s">
        <v>62</v>
      </c>
      <c r="E40" s="122"/>
      <c r="F40" s="123"/>
      <c r="G40" s="76"/>
      <c r="H40" s="76"/>
      <c r="I40" s="143"/>
      <c r="J40" s="10"/>
      <c r="K40" s="2"/>
      <c r="L40" s="2"/>
      <c r="M40" s="2"/>
    </row>
    <row r="41" spans="1:13" ht="15.6" x14ac:dyDescent="0.3">
      <c r="A41" s="177" t="s">
        <v>63</v>
      </c>
      <c r="B41" s="178"/>
      <c r="C41" s="178"/>
      <c r="D41" s="179"/>
      <c r="E41" s="180" t="s">
        <v>64</v>
      </c>
      <c r="F41" s="181"/>
      <c r="G41" s="181"/>
      <c r="H41" s="182"/>
      <c r="I41" s="144"/>
      <c r="J41" s="2"/>
      <c r="K41" s="2"/>
      <c r="L41" s="2"/>
      <c r="M41" s="2"/>
    </row>
    <row r="42" spans="1:13" ht="24.6" customHeight="1" x14ac:dyDescent="0.3">
      <c r="A42" s="128" t="s">
        <v>141</v>
      </c>
      <c r="B42" s="129"/>
      <c r="C42" s="129"/>
      <c r="D42" s="130"/>
      <c r="E42" s="122"/>
      <c r="F42" s="123"/>
      <c r="G42" s="93"/>
      <c r="H42" s="92"/>
      <c r="I42" s="94"/>
      <c r="J42" s="2"/>
      <c r="K42" s="2"/>
      <c r="L42" s="2"/>
      <c r="M42" s="2"/>
    </row>
    <row r="43" spans="1:13" ht="24.6" customHeight="1" x14ac:dyDescent="0.3">
      <c r="A43" s="128" t="s">
        <v>142</v>
      </c>
      <c r="B43" s="129"/>
      <c r="C43" s="129"/>
      <c r="D43" s="130"/>
      <c r="E43" s="122"/>
      <c r="F43" s="123"/>
      <c r="G43" s="93"/>
      <c r="H43" s="92"/>
      <c r="I43" s="94"/>
      <c r="J43" s="2"/>
      <c r="K43" s="2"/>
      <c r="L43" s="2"/>
      <c r="M43" s="2"/>
    </row>
    <row r="44" spans="1:13" ht="57" customHeight="1" x14ac:dyDescent="0.3">
      <c r="A44" s="128" t="s">
        <v>143</v>
      </c>
      <c r="B44" s="129"/>
      <c r="C44" s="129"/>
      <c r="D44" s="130"/>
      <c r="E44" s="122"/>
      <c r="F44" s="123"/>
      <c r="G44" s="93"/>
      <c r="H44" s="92"/>
      <c r="I44" s="94"/>
      <c r="J44" s="2"/>
      <c r="K44" s="2"/>
      <c r="L44" s="2"/>
      <c r="M44" s="2"/>
    </row>
    <row r="45" spans="1:13" ht="24.6" customHeight="1" x14ac:dyDescent="0.3">
      <c r="A45" s="128" t="s">
        <v>144</v>
      </c>
      <c r="B45" s="129"/>
      <c r="C45" s="129"/>
      <c r="D45" s="130"/>
      <c r="E45" s="122"/>
      <c r="F45" s="123"/>
      <c r="G45" s="93"/>
      <c r="H45" s="93"/>
      <c r="I45" s="94"/>
      <c r="J45" s="2"/>
      <c r="K45" s="2"/>
      <c r="L45" s="2"/>
      <c r="M45" s="2"/>
    </row>
    <row r="46" spans="1:13" ht="24.6" customHeight="1" x14ac:dyDescent="0.3">
      <c r="A46" s="128" t="s">
        <v>145</v>
      </c>
      <c r="B46" s="129"/>
      <c r="C46" s="129"/>
      <c r="D46" s="130"/>
      <c r="E46" s="122"/>
      <c r="F46" s="123"/>
      <c r="G46" s="93"/>
      <c r="H46" s="93"/>
      <c r="I46" s="94"/>
      <c r="J46" s="2"/>
      <c r="K46" s="2"/>
      <c r="L46" s="2"/>
      <c r="M46" s="2"/>
    </row>
    <row r="47" spans="1:13" x14ac:dyDescent="0.3">
      <c r="A47" s="124"/>
      <c r="B47" s="124"/>
      <c r="C47" s="1"/>
      <c r="D47" s="1"/>
      <c r="E47" s="3"/>
      <c r="F47" s="1"/>
      <c r="G47" s="1"/>
      <c r="H47" s="1"/>
      <c r="I47" s="3"/>
      <c r="J47" s="2"/>
      <c r="K47" s="2"/>
      <c r="L47" s="2"/>
      <c r="M47" s="2"/>
    </row>
    <row r="48" spans="1:13" x14ac:dyDescent="0.3">
      <c r="A48" s="118"/>
      <c r="B48" s="118"/>
      <c r="C48" s="1"/>
      <c r="D48" s="1"/>
      <c r="E48" s="3"/>
      <c r="F48" s="1"/>
      <c r="G48" s="1"/>
      <c r="H48" s="1"/>
      <c r="I48" s="3"/>
      <c r="J48" s="2"/>
      <c r="K48" s="2"/>
      <c r="L48" s="2"/>
      <c r="M48" s="2"/>
    </row>
    <row r="49" spans="1:13" x14ac:dyDescent="0.3">
      <c r="A49" s="118"/>
      <c r="B49" s="118"/>
      <c r="C49" s="1"/>
      <c r="D49" s="1"/>
      <c r="E49" s="3"/>
      <c r="F49" s="1"/>
      <c r="G49" s="1"/>
      <c r="H49" s="1"/>
      <c r="I49" s="3"/>
      <c r="J49" s="2"/>
      <c r="K49" s="2"/>
      <c r="L49" s="2"/>
      <c r="M49" s="2"/>
    </row>
    <row r="50" spans="1:13" x14ac:dyDescent="0.3">
      <c r="A50" s="118"/>
      <c r="B50" s="118"/>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15:D15"/>
    <mergeCell ref="I15:I16"/>
    <mergeCell ref="A16:E16"/>
    <mergeCell ref="A17:D17"/>
    <mergeCell ref="I17:I18"/>
    <mergeCell ref="A18:E18"/>
    <mergeCell ref="A19:D19"/>
    <mergeCell ref="F19:H19"/>
    <mergeCell ref="A22:D22"/>
    <mergeCell ref="F22:H22"/>
    <mergeCell ref="I22:I23"/>
    <mergeCell ref="A23:E23"/>
    <mergeCell ref="F23:H23"/>
    <mergeCell ref="A20:D20"/>
    <mergeCell ref="F20:H20"/>
    <mergeCell ref="I20:I21"/>
    <mergeCell ref="A21:E21"/>
    <mergeCell ref="F21:H21"/>
    <mergeCell ref="A24:D24"/>
    <mergeCell ref="F24:H24"/>
    <mergeCell ref="I24:I25"/>
    <mergeCell ref="A25:E25"/>
    <mergeCell ref="F25:H25"/>
    <mergeCell ref="A26:D26"/>
    <mergeCell ref="F26:H26"/>
    <mergeCell ref="I26:I27"/>
    <mergeCell ref="A27:E27"/>
    <mergeCell ref="F27:H27"/>
    <mergeCell ref="A28:D28"/>
    <mergeCell ref="F28:H28"/>
    <mergeCell ref="I28:I29"/>
    <mergeCell ref="A29:E29"/>
    <mergeCell ref="F29:H29"/>
    <mergeCell ref="A30:D30"/>
    <mergeCell ref="F30:H30"/>
    <mergeCell ref="I30:I31"/>
    <mergeCell ref="A31:E31"/>
    <mergeCell ref="F31:H31"/>
    <mergeCell ref="A34:D34"/>
    <mergeCell ref="E39:F39"/>
    <mergeCell ref="I39:I41"/>
    <mergeCell ref="E40:F40"/>
    <mergeCell ref="A41:D41"/>
    <mergeCell ref="E41:H41"/>
    <mergeCell ref="A35:I35"/>
    <mergeCell ref="A38:I38"/>
    <mergeCell ref="A36:D36"/>
    <mergeCell ref="F36:H36"/>
    <mergeCell ref="I36:I37"/>
    <mergeCell ref="A37:E37"/>
    <mergeCell ref="F37:H37"/>
    <mergeCell ref="A32:D32"/>
    <mergeCell ref="F32:H32"/>
    <mergeCell ref="I32:I33"/>
    <mergeCell ref="A33:E33"/>
    <mergeCell ref="F33:H33"/>
    <mergeCell ref="A49:B49"/>
    <mergeCell ref="A50:B50"/>
    <mergeCell ref="A45:D45"/>
    <mergeCell ref="E45:F45"/>
    <mergeCell ref="A46:D46"/>
    <mergeCell ref="E46:F46"/>
    <mergeCell ref="A47:B47"/>
    <mergeCell ref="A48:B48"/>
    <mergeCell ref="A42:D42"/>
    <mergeCell ref="E42:F42"/>
    <mergeCell ref="A43:D43"/>
    <mergeCell ref="E43:F43"/>
    <mergeCell ref="A44:D44"/>
    <mergeCell ref="E44:F4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topLeftCell="A45" workbookViewId="0">
      <selection activeCell="F27" sqref="F27"/>
    </sheetView>
  </sheetViews>
  <sheetFormatPr defaultRowHeight="14.4" x14ac:dyDescent="0.3"/>
  <cols>
    <col min="1" max="1" width="11.33203125" customWidth="1"/>
    <col min="2" max="2" width="11" customWidth="1"/>
    <col min="3" max="3" width="11.5546875" customWidth="1"/>
    <col min="4" max="4" width="13" customWidth="1"/>
    <col min="5" max="5" width="11.109375" customWidth="1"/>
    <col min="6" max="8" width="29.6640625" customWidth="1"/>
  </cols>
  <sheetData>
    <row r="1" spans="1:11" x14ac:dyDescent="0.3">
      <c r="A1" s="2" t="s">
        <v>21</v>
      </c>
      <c r="B1" s="153">
        <v>45859</v>
      </c>
      <c r="C1" s="154"/>
      <c r="D1" s="154"/>
      <c r="E1" s="154"/>
      <c r="F1" s="2"/>
      <c r="G1" s="4" t="s">
        <v>22</v>
      </c>
      <c r="H1" s="95" t="s">
        <v>146</v>
      </c>
      <c r="I1" s="2"/>
      <c r="J1" s="2"/>
      <c r="K1" s="2"/>
    </row>
    <row r="2" spans="1:11" x14ac:dyDescent="0.3">
      <c r="A2" s="155"/>
      <c r="B2" s="155"/>
      <c r="C2" s="2"/>
      <c r="D2" s="2"/>
      <c r="E2" s="5"/>
      <c r="F2" s="2"/>
      <c r="G2" s="2"/>
      <c r="H2" s="2"/>
      <c r="I2" s="2"/>
      <c r="J2" s="2"/>
      <c r="K2" s="2"/>
    </row>
    <row r="3" spans="1:11" ht="18" x14ac:dyDescent="0.35">
      <c r="A3" s="6"/>
      <c r="B3" s="6"/>
      <c r="C3" s="6"/>
      <c r="D3" s="6"/>
      <c r="E3" s="7"/>
      <c r="F3" s="7"/>
      <c r="G3" s="7"/>
      <c r="H3" s="7"/>
      <c r="I3" s="2"/>
      <c r="J3" s="2"/>
      <c r="K3" s="2"/>
    </row>
    <row r="4" spans="1:11" ht="27.6" x14ac:dyDescent="0.3">
      <c r="A4" s="156" t="s">
        <v>147</v>
      </c>
      <c r="B4" s="157"/>
      <c r="C4" s="157"/>
      <c r="D4" s="158"/>
      <c r="E4" s="8" t="s">
        <v>24</v>
      </c>
      <c r="F4" s="86" t="s">
        <v>148</v>
      </c>
      <c r="G4" s="87" t="s">
        <v>149</v>
      </c>
      <c r="H4" s="88" t="s">
        <v>150</v>
      </c>
      <c r="I4" s="2"/>
      <c r="J4" s="10"/>
      <c r="K4" s="2"/>
    </row>
    <row r="5" spans="1:11" ht="27.6" x14ac:dyDescent="0.3">
      <c r="A5" s="159"/>
      <c r="B5" s="160"/>
      <c r="C5" s="160"/>
      <c r="D5" s="161"/>
      <c r="E5" s="9" t="s">
        <v>28</v>
      </c>
      <c r="F5" s="94" t="s">
        <v>151</v>
      </c>
      <c r="G5" s="94" t="s">
        <v>151</v>
      </c>
      <c r="H5" s="94" t="s">
        <v>152</v>
      </c>
      <c r="I5" s="2"/>
      <c r="J5" s="10"/>
      <c r="K5" s="2"/>
    </row>
    <row r="6" spans="1:11" ht="27.6" x14ac:dyDescent="0.3">
      <c r="A6" s="159"/>
      <c r="B6" s="160"/>
      <c r="C6" s="160"/>
      <c r="D6" s="161"/>
      <c r="E6" s="14" t="s">
        <v>153</v>
      </c>
      <c r="F6" s="94" t="s">
        <v>154</v>
      </c>
      <c r="G6" s="94" t="s">
        <v>155</v>
      </c>
      <c r="H6" s="94" t="s">
        <v>156</v>
      </c>
      <c r="I6" s="65"/>
      <c r="J6" s="12"/>
      <c r="K6" s="12"/>
    </row>
    <row r="7" spans="1:11" ht="27.6" x14ac:dyDescent="0.3">
      <c r="A7" s="162"/>
      <c r="B7" s="163"/>
      <c r="C7" s="163"/>
      <c r="D7" s="164"/>
      <c r="E7" s="14" t="s">
        <v>107</v>
      </c>
      <c r="F7" s="89" t="s">
        <v>157</v>
      </c>
      <c r="G7" s="89" t="s">
        <v>158</v>
      </c>
      <c r="H7" s="89" t="s">
        <v>159</v>
      </c>
      <c r="I7" s="12"/>
      <c r="J7" s="12"/>
      <c r="K7" s="12"/>
    </row>
    <row r="8" spans="1:11" ht="84" customHeight="1" x14ac:dyDescent="0.3">
      <c r="A8" s="165" t="s">
        <v>37</v>
      </c>
      <c r="B8" s="166"/>
      <c r="C8" s="166"/>
      <c r="D8" s="167"/>
      <c r="E8" s="16" t="s">
        <v>38</v>
      </c>
      <c r="F8" s="165" t="s">
        <v>160</v>
      </c>
      <c r="G8" s="166"/>
      <c r="H8" s="167"/>
      <c r="I8" s="66" t="s">
        <v>40</v>
      </c>
      <c r="J8" s="18"/>
      <c r="K8" s="18"/>
    </row>
    <row r="9" spans="1:11" ht="99.75" customHeight="1" x14ac:dyDescent="0.3">
      <c r="A9" s="119" t="s">
        <v>161</v>
      </c>
      <c r="B9" s="120"/>
      <c r="C9" s="120"/>
      <c r="D9" s="121"/>
      <c r="E9" s="15">
        <v>10</v>
      </c>
      <c r="F9" s="76">
        <v>4</v>
      </c>
      <c r="G9" s="76">
        <v>3</v>
      </c>
      <c r="H9" s="76">
        <v>3</v>
      </c>
      <c r="I9" s="131">
        <f>IF(F9="N/A",4,F9)+IF(G9="N/A",3,G9)+IF(H9="N/A",3,H9)</f>
        <v>10</v>
      </c>
      <c r="J9" s="10"/>
      <c r="K9" s="6"/>
    </row>
    <row r="10" spans="1:11" ht="18" x14ac:dyDescent="0.3">
      <c r="A10" s="133" t="s">
        <v>42</v>
      </c>
      <c r="B10" s="134"/>
      <c r="C10" s="134"/>
      <c r="D10" s="134"/>
      <c r="E10" s="135"/>
      <c r="F10" s="99"/>
      <c r="G10" s="99"/>
      <c r="H10" s="99"/>
      <c r="I10" s="132"/>
      <c r="J10" s="6"/>
      <c r="K10" s="6"/>
    </row>
    <row r="11" spans="1:11" ht="87" customHeight="1" x14ac:dyDescent="0.3">
      <c r="A11" s="119" t="s">
        <v>162</v>
      </c>
      <c r="B11" s="120"/>
      <c r="C11" s="120"/>
      <c r="D11" s="121"/>
      <c r="E11" s="19">
        <v>10</v>
      </c>
      <c r="F11" s="76">
        <v>4</v>
      </c>
      <c r="G11" s="76">
        <v>3</v>
      </c>
      <c r="H11" s="76">
        <v>3</v>
      </c>
      <c r="I11" s="131">
        <f>IF(F11="N/A",4,F11)+IF(G11="N/A",3,G11)+IF(H11="N/A",3,H11)</f>
        <v>10</v>
      </c>
      <c r="J11" s="6"/>
      <c r="K11" s="6"/>
    </row>
    <row r="12" spans="1:11" ht="18" x14ac:dyDescent="0.3">
      <c r="A12" s="133" t="s">
        <v>46</v>
      </c>
      <c r="B12" s="134"/>
      <c r="C12" s="134"/>
      <c r="D12" s="134"/>
      <c r="E12" s="135"/>
      <c r="F12" s="99"/>
      <c r="G12" s="99"/>
      <c r="H12" s="99"/>
      <c r="I12" s="132"/>
      <c r="J12" s="6"/>
      <c r="K12" s="6"/>
    </row>
    <row r="13" spans="1:11" ht="56.25" customHeight="1" x14ac:dyDescent="0.3">
      <c r="A13" s="128" t="s">
        <v>163</v>
      </c>
      <c r="B13" s="129"/>
      <c r="C13" s="129"/>
      <c r="D13" s="130"/>
      <c r="E13" s="19">
        <v>10</v>
      </c>
      <c r="F13" s="76">
        <v>4</v>
      </c>
      <c r="G13" s="76">
        <v>3</v>
      </c>
      <c r="H13" s="76">
        <v>3</v>
      </c>
      <c r="I13" s="131">
        <f>IF(F13="N/A",4,F13)+IF(G13="N/A",3,G13)+IF(H13="N/A",3,H13)</f>
        <v>10</v>
      </c>
      <c r="J13" s="6"/>
      <c r="K13" s="6"/>
    </row>
    <row r="14" spans="1:11" ht="18" x14ac:dyDescent="0.3">
      <c r="A14" s="133" t="s">
        <v>49</v>
      </c>
      <c r="B14" s="134"/>
      <c r="C14" s="134"/>
      <c r="D14" s="134"/>
      <c r="E14" s="135"/>
      <c r="F14" s="99"/>
      <c r="G14" s="99"/>
      <c r="H14" s="99"/>
      <c r="I14" s="132"/>
      <c r="J14" s="6"/>
      <c r="K14" s="6"/>
    </row>
    <row r="15" spans="1:11" ht="78" customHeight="1" x14ac:dyDescent="0.3">
      <c r="A15" s="128" t="s">
        <v>164</v>
      </c>
      <c r="B15" s="129"/>
      <c r="C15" s="129"/>
      <c r="D15" s="130"/>
      <c r="E15" s="19">
        <v>10</v>
      </c>
      <c r="F15" s="76" t="s">
        <v>45</v>
      </c>
      <c r="G15" s="76" t="s">
        <v>45</v>
      </c>
      <c r="H15" s="76">
        <v>3</v>
      </c>
      <c r="I15" s="131">
        <f>IF(F15="N/A",4,F15)+IF(G15="N/A",3,G15)+IF(H15="N/A",3,H15)</f>
        <v>10</v>
      </c>
      <c r="J15" s="2"/>
      <c r="K15" s="2"/>
    </row>
    <row r="16" spans="1:11" x14ac:dyDescent="0.3">
      <c r="A16" s="133" t="s">
        <v>54</v>
      </c>
      <c r="B16" s="134"/>
      <c r="C16" s="134"/>
      <c r="D16" s="134"/>
      <c r="E16" s="135"/>
      <c r="F16" s="99" t="s">
        <v>165</v>
      </c>
      <c r="G16" s="99" t="s">
        <v>165</v>
      </c>
      <c r="H16" s="99"/>
      <c r="I16" s="132"/>
      <c r="J16" s="2"/>
      <c r="K16" s="2"/>
    </row>
    <row r="17" spans="1:11" ht="75" customHeight="1" x14ac:dyDescent="0.3">
      <c r="A17" s="128" t="s">
        <v>166</v>
      </c>
      <c r="B17" s="129"/>
      <c r="C17" s="129"/>
      <c r="D17" s="130"/>
      <c r="E17" s="19">
        <v>10</v>
      </c>
      <c r="F17" s="76" t="s">
        <v>45</v>
      </c>
      <c r="G17" s="76" t="s">
        <v>45</v>
      </c>
      <c r="H17" s="76" t="s">
        <v>45</v>
      </c>
      <c r="I17" s="131">
        <f>IF(F17="N/A",4,F17)+IF(G17="N/A",3,G17)+IF(H17="N/A",3,H17)</f>
        <v>10</v>
      </c>
      <c r="J17" s="2"/>
      <c r="K17" s="2"/>
    </row>
    <row r="18" spans="1:11" x14ac:dyDescent="0.3">
      <c r="A18" s="133" t="s">
        <v>56</v>
      </c>
      <c r="B18" s="134"/>
      <c r="C18" s="134"/>
      <c r="D18" s="134"/>
      <c r="E18" s="135"/>
      <c r="F18" s="99" t="s">
        <v>165</v>
      </c>
      <c r="G18" s="99" t="s">
        <v>165</v>
      </c>
      <c r="H18" s="99" t="s">
        <v>167</v>
      </c>
      <c r="I18" s="132"/>
      <c r="J18" s="2"/>
      <c r="K18" s="2"/>
    </row>
    <row r="19" spans="1:11" ht="73.5" customHeight="1" x14ac:dyDescent="0.3">
      <c r="A19" s="128" t="s">
        <v>168</v>
      </c>
      <c r="B19" s="129"/>
      <c r="C19" s="129"/>
      <c r="D19" s="130"/>
      <c r="E19" s="19">
        <v>10</v>
      </c>
      <c r="F19" s="76">
        <v>0</v>
      </c>
      <c r="G19" s="76">
        <v>0</v>
      </c>
      <c r="H19" s="76">
        <v>0</v>
      </c>
      <c r="I19" s="131">
        <f>IF(F19="N/A",4,F19)+IF(G19="N/A",3,G19)+IF(H19="N/A",3,H19)</f>
        <v>0</v>
      </c>
      <c r="J19" s="2"/>
      <c r="K19" s="2"/>
    </row>
    <row r="20" spans="1:11" ht="345" x14ac:dyDescent="0.3">
      <c r="A20" s="133" t="s">
        <v>92</v>
      </c>
      <c r="B20" s="134"/>
      <c r="C20" s="134"/>
      <c r="D20" s="134"/>
      <c r="E20" s="135"/>
      <c r="F20" s="99" t="s">
        <v>169</v>
      </c>
      <c r="G20" s="99" t="s">
        <v>170</v>
      </c>
      <c r="H20" s="99" t="s">
        <v>171</v>
      </c>
      <c r="I20" s="132"/>
      <c r="J20" s="2"/>
      <c r="K20" s="2"/>
    </row>
    <row r="21" spans="1:11" ht="56.25" customHeight="1" x14ac:dyDescent="0.3">
      <c r="A21" s="128" t="s">
        <v>172</v>
      </c>
      <c r="B21" s="129"/>
      <c r="C21" s="129"/>
      <c r="D21" s="130"/>
      <c r="E21" s="19">
        <v>10</v>
      </c>
      <c r="F21" s="76">
        <v>4</v>
      </c>
      <c r="G21" s="76">
        <v>3</v>
      </c>
      <c r="H21" s="76">
        <v>3</v>
      </c>
      <c r="I21" s="131">
        <f>IF(F21="N/A",4,F21)+IF(G21="N/A",3,G21)+IF(H21="N/A",3,H21)</f>
        <v>10</v>
      </c>
      <c r="J21" s="2"/>
      <c r="K21" s="2"/>
    </row>
    <row r="22" spans="1:11" x14ac:dyDescent="0.3">
      <c r="A22" s="133" t="s">
        <v>127</v>
      </c>
      <c r="B22" s="134"/>
      <c r="C22" s="134"/>
      <c r="D22" s="134"/>
      <c r="E22" s="135"/>
      <c r="F22" s="99"/>
      <c r="G22" s="99"/>
      <c r="H22" s="99"/>
      <c r="I22" s="132"/>
      <c r="J22" s="2"/>
      <c r="K22" s="2"/>
    </row>
    <row r="23" spans="1:11" ht="72.75" customHeight="1" x14ac:dyDescent="0.3">
      <c r="A23" s="128" t="s">
        <v>173</v>
      </c>
      <c r="B23" s="129"/>
      <c r="C23" s="129"/>
      <c r="D23" s="130"/>
      <c r="E23" s="15">
        <v>10</v>
      </c>
      <c r="F23" s="76">
        <v>4</v>
      </c>
      <c r="G23" s="76">
        <v>3</v>
      </c>
      <c r="H23" s="76">
        <v>3</v>
      </c>
      <c r="I23" s="131">
        <f>IF(F23="N/A",4,F23)+IF(G23="N/A",3,G23)+IF(H23="N/A",3,H23)</f>
        <v>10</v>
      </c>
      <c r="J23" s="2"/>
      <c r="K23" s="2"/>
    </row>
    <row r="24" spans="1:11" x14ac:dyDescent="0.3">
      <c r="A24" s="133" t="s">
        <v>129</v>
      </c>
      <c r="B24" s="134"/>
      <c r="C24" s="134"/>
      <c r="D24" s="134"/>
      <c r="E24" s="135"/>
      <c r="F24" s="99"/>
      <c r="G24" s="99"/>
      <c r="H24" s="99"/>
      <c r="I24" s="132"/>
      <c r="J24" s="2"/>
      <c r="K24" s="2"/>
    </row>
    <row r="25" spans="1:11" ht="36" customHeight="1" x14ac:dyDescent="0.3">
      <c r="A25" s="128" t="s">
        <v>174</v>
      </c>
      <c r="B25" s="129"/>
      <c r="C25" s="129"/>
      <c r="D25" s="130"/>
      <c r="E25" s="15">
        <v>10</v>
      </c>
      <c r="F25" s="76">
        <v>0</v>
      </c>
      <c r="G25" s="76">
        <v>3</v>
      </c>
      <c r="H25" s="76">
        <v>3</v>
      </c>
      <c r="I25" s="131">
        <f>IF(F25="N/A",4,F25)+IF(G25="N/A",3,G25)+IF(H25="N/A",3,H25)</f>
        <v>6</v>
      </c>
      <c r="J25" s="2"/>
      <c r="K25" s="2"/>
    </row>
    <row r="26" spans="1:11" ht="69" x14ac:dyDescent="0.3">
      <c r="A26" s="133" t="s">
        <v>131</v>
      </c>
      <c r="B26" s="134"/>
      <c r="C26" s="134"/>
      <c r="D26" s="134"/>
      <c r="E26" s="135"/>
      <c r="F26" s="99" t="s">
        <v>175</v>
      </c>
      <c r="G26" s="99" t="s">
        <v>151</v>
      </c>
      <c r="H26" s="99"/>
      <c r="I26" s="132"/>
      <c r="J26" s="2"/>
      <c r="K26" s="2"/>
    </row>
    <row r="27" spans="1:11" ht="30" customHeight="1" x14ac:dyDescent="0.3">
      <c r="A27" s="128" t="s">
        <v>176</v>
      </c>
      <c r="B27" s="129"/>
      <c r="C27" s="129"/>
      <c r="D27" s="130"/>
      <c r="E27" s="15">
        <v>10</v>
      </c>
      <c r="F27" s="76">
        <v>4</v>
      </c>
      <c r="G27" s="76">
        <v>3</v>
      </c>
      <c r="H27" s="76">
        <v>3</v>
      </c>
      <c r="I27" s="131">
        <f>IF(F27="N/A",4,F27)+IF(G27="N/A",3,G27)+IF(H27="N/A",3,H27)</f>
        <v>10</v>
      </c>
      <c r="J27" s="2"/>
      <c r="K27" s="2"/>
    </row>
    <row r="28" spans="1:11" x14ac:dyDescent="0.3">
      <c r="A28" s="133" t="s">
        <v>133</v>
      </c>
      <c r="B28" s="134"/>
      <c r="C28" s="134"/>
      <c r="D28" s="134"/>
      <c r="E28" s="135"/>
      <c r="F28" s="99"/>
      <c r="G28" s="99" t="s">
        <v>151</v>
      </c>
      <c r="H28" s="99"/>
      <c r="I28" s="132"/>
      <c r="J28" s="2"/>
      <c r="K28" s="2"/>
    </row>
    <row r="29" spans="1:11" ht="39.75" customHeight="1" x14ac:dyDescent="0.3">
      <c r="A29" s="128" t="s">
        <v>177</v>
      </c>
      <c r="B29" s="129"/>
      <c r="C29" s="129"/>
      <c r="D29" s="130"/>
      <c r="E29" s="63">
        <v>10</v>
      </c>
      <c r="F29" s="76">
        <v>4</v>
      </c>
      <c r="G29" s="76">
        <v>3</v>
      </c>
      <c r="H29" s="76">
        <v>3</v>
      </c>
      <c r="I29" s="131">
        <f>IF(F29="N/A",4,F29)+IF(G29="N/A",3,G29)+IF(H29="N/A",3,H29)</f>
        <v>10</v>
      </c>
      <c r="J29" s="2"/>
      <c r="K29" s="2"/>
    </row>
    <row r="30" spans="1:11" x14ac:dyDescent="0.3">
      <c r="A30" s="133" t="s">
        <v>135</v>
      </c>
      <c r="B30" s="134"/>
      <c r="C30" s="134"/>
      <c r="D30" s="134"/>
      <c r="E30" s="135"/>
      <c r="F30" s="99"/>
      <c r="G30" s="99"/>
      <c r="H30" s="99"/>
      <c r="I30" s="132"/>
      <c r="J30" s="2"/>
      <c r="K30" s="2"/>
    </row>
    <row r="31" spans="1:11" ht="105.75" customHeight="1" x14ac:dyDescent="0.3">
      <c r="A31" s="128" t="s">
        <v>178</v>
      </c>
      <c r="B31" s="129"/>
      <c r="C31" s="129"/>
      <c r="D31" s="130"/>
      <c r="E31" s="15">
        <v>10</v>
      </c>
      <c r="F31" s="76">
        <v>4</v>
      </c>
      <c r="G31" s="76">
        <v>3</v>
      </c>
      <c r="H31" s="76">
        <v>3</v>
      </c>
      <c r="I31" s="131">
        <f>IF(F31="N/A",4,F31)+IF(G31="N/A",3,G31)+IF(H31="N/A",3,H31)</f>
        <v>10</v>
      </c>
      <c r="J31" s="2"/>
      <c r="K31" s="2"/>
    </row>
    <row r="32" spans="1:11" ht="69" x14ac:dyDescent="0.3">
      <c r="A32" s="133" t="s">
        <v>137</v>
      </c>
      <c r="B32" s="134"/>
      <c r="C32" s="134"/>
      <c r="D32" s="134"/>
      <c r="E32" s="135"/>
      <c r="F32" s="99" t="s">
        <v>179</v>
      </c>
      <c r="G32" s="99"/>
      <c r="H32" s="99" t="s">
        <v>180</v>
      </c>
      <c r="I32" s="132"/>
      <c r="J32" s="2"/>
      <c r="K32" s="2"/>
    </row>
    <row r="33" spans="1:11" ht="81.75" customHeight="1" x14ac:dyDescent="0.3">
      <c r="A33" s="128" t="s">
        <v>181</v>
      </c>
      <c r="B33" s="129"/>
      <c r="C33" s="129"/>
      <c r="D33" s="130"/>
      <c r="E33" s="15">
        <v>10</v>
      </c>
      <c r="F33" s="76">
        <v>0</v>
      </c>
      <c r="G33" s="76">
        <v>0</v>
      </c>
      <c r="H33" s="76" t="s">
        <v>45</v>
      </c>
      <c r="I33" s="131">
        <f>IF(F33="N/A",4,F33)+IF(G33="N/A",3,G33)+IF(H33="N/A",3,H33)</f>
        <v>3</v>
      </c>
      <c r="J33" s="2"/>
      <c r="K33" s="2"/>
    </row>
    <row r="34" spans="1:11" x14ac:dyDescent="0.3">
      <c r="A34" s="133" t="s">
        <v>140</v>
      </c>
      <c r="B34" s="134"/>
      <c r="C34" s="134"/>
      <c r="D34" s="134"/>
      <c r="E34" s="135"/>
      <c r="F34" s="99" t="s">
        <v>182</v>
      </c>
      <c r="G34" s="99" t="s">
        <v>183</v>
      </c>
      <c r="H34" s="99" t="s">
        <v>184</v>
      </c>
      <c r="I34" s="132"/>
      <c r="J34" s="2"/>
      <c r="K34" s="2"/>
    </row>
    <row r="35" spans="1:11" x14ac:dyDescent="0.3">
      <c r="A35" s="125" t="s">
        <v>185</v>
      </c>
      <c r="B35" s="126"/>
      <c r="C35" s="126"/>
      <c r="D35" s="127"/>
      <c r="E35" s="68">
        <f>E9+E11+E13+E15+E17+E19+E21+E23+E25+E27+E29+E31+E33+E38+E40+E42+E44</f>
        <v>170</v>
      </c>
      <c r="F35" s="2"/>
      <c r="G35" s="2"/>
      <c r="H35" s="69" t="s">
        <v>58</v>
      </c>
      <c r="I35" s="68">
        <f>SUM(I9:I34)+SUM(I38:I45)</f>
        <v>149</v>
      </c>
      <c r="J35" s="2"/>
      <c r="K35" s="2"/>
    </row>
    <row r="36" spans="1:11" x14ac:dyDescent="0.3">
      <c r="A36" s="139" t="s">
        <v>59</v>
      </c>
      <c r="B36" s="139"/>
      <c r="C36" s="139"/>
      <c r="D36" s="139"/>
      <c r="E36" s="139"/>
      <c r="F36" s="139"/>
      <c r="G36" s="139"/>
      <c r="H36" s="139"/>
      <c r="I36" s="139"/>
      <c r="J36" s="2"/>
      <c r="K36" s="2"/>
    </row>
    <row r="37" spans="1:11" ht="41.4" x14ac:dyDescent="0.3">
      <c r="A37" s="166" t="s">
        <v>186</v>
      </c>
      <c r="B37" s="166"/>
      <c r="C37" s="166"/>
      <c r="D37" s="167"/>
      <c r="E37" s="16" t="s">
        <v>38</v>
      </c>
      <c r="F37" s="180" t="s">
        <v>187</v>
      </c>
      <c r="G37" s="181"/>
      <c r="H37" s="182"/>
      <c r="I37" s="67" t="s">
        <v>40</v>
      </c>
      <c r="J37" s="2"/>
      <c r="K37" s="2"/>
    </row>
    <row r="38" spans="1:11" ht="112.5" customHeight="1" x14ac:dyDescent="0.3">
      <c r="A38" s="129" t="s">
        <v>188</v>
      </c>
      <c r="B38" s="129"/>
      <c r="C38" s="129"/>
      <c r="D38" s="130"/>
      <c r="E38" s="11">
        <v>10</v>
      </c>
      <c r="F38" s="122" t="s">
        <v>45</v>
      </c>
      <c r="G38" s="171"/>
      <c r="H38" s="123"/>
      <c r="I38" s="131">
        <f>IF(F38="N/A",10,F38)</f>
        <v>10</v>
      </c>
      <c r="J38" s="2"/>
      <c r="K38" s="2"/>
    </row>
    <row r="39" spans="1:11" x14ac:dyDescent="0.3">
      <c r="A39" s="133" t="s">
        <v>189</v>
      </c>
      <c r="B39" s="134"/>
      <c r="C39" s="134"/>
      <c r="D39" s="134"/>
      <c r="E39" s="135"/>
      <c r="F39" s="136"/>
      <c r="G39" s="137"/>
      <c r="H39" s="138"/>
      <c r="I39" s="132"/>
      <c r="J39" s="2"/>
      <c r="K39" s="2"/>
    </row>
    <row r="40" spans="1:11" ht="89.25" customHeight="1" x14ac:dyDescent="0.3">
      <c r="A40" s="129" t="s">
        <v>190</v>
      </c>
      <c r="B40" s="129"/>
      <c r="C40" s="129"/>
      <c r="D40" s="130"/>
      <c r="E40" s="11">
        <v>10</v>
      </c>
      <c r="F40" s="122" t="s">
        <v>45</v>
      </c>
      <c r="G40" s="171"/>
      <c r="H40" s="123"/>
      <c r="I40" s="131">
        <f>IF(F40="N/A",10,F40)</f>
        <v>10</v>
      </c>
      <c r="J40" s="2"/>
      <c r="K40" s="2"/>
    </row>
    <row r="41" spans="1:11" x14ac:dyDescent="0.3">
      <c r="A41" s="133" t="s">
        <v>189</v>
      </c>
      <c r="B41" s="134"/>
      <c r="C41" s="134"/>
      <c r="D41" s="134"/>
      <c r="E41" s="135"/>
      <c r="F41" s="136"/>
      <c r="G41" s="137"/>
      <c r="H41" s="138"/>
      <c r="I41" s="132"/>
      <c r="J41" s="2"/>
      <c r="K41" s="2"/>
    </row>
    <row r="42" spans="1:11" ht="49.5" customHeight="1" x14ac:dyDescent="0.3">
      <c r="A42" s="129" t="s">
        <v>191</v>
      </c>
      <c r="B42" s="129"/>
      <c r="C42" s="129"/>
      <c r="D42" s="130"/>
      <c r="E42" s="11">
        <v>10</v>
      </c>
      <c r="F42" s="122" t="s">
        <v>45</v>
      </c>
      <c r="G42" s="171"/>
      <c r="H42" s="123"/>
      <c r="I42" s="131">
        <f>IF(F42="N/A",10,F42)</f>
        <v>10</v>
      </c>
      <c r="J42" s="2"/>
      <c r="K42" s="2"/>
    </row>
    <row r="43" spans="1:11" x14ac:dyDescent="0.3">
      <c r="A43" s="133" t="s">
        <v>189</v>
      </c>
      <c r="B43" s="134"/>
      <c r="C43" s="134"/>
      <c r="D43" s="134"/>
      <c r="E43" s="135"/>
      <c r="F43" s="136"/>
      <c r="G43" s="137"/>
      <c r="H43" s="138"/>
      <c r="I43" s="132"/>
      <c r="J43" s="2"/>
      <c r="K43" s="2"/>
    </row>
    <row r="44" spans="1:11" ht="98.25" customHeight="1" x14ac:dyDescent="0.3">
      <c r="A44" s="128" t="s">
        <v>192</v>
      </c>
      <c r="B44" s="129"/>
      <c r="C44" s="129"/>
      <c r="D44" s="130"/>
      <c r="E44" s="21">
        <v>10</v>
      </c>
      <c r="F44" s="122" t="s">
        <v>45</v>
      </c>
      <c r="G44" s="171"/>
      <c r="H44" s="123"/>
      <c r="I44" s="131">
        <f>IF(F44="N/A",10,F44)</f>
        <v>10</v>
      </c>
      <c r="J44" s="2"/>
      <c r="K44" s="2"/>
    </row>
    <row r="45" spans="1:11" x14ac:dyDescent="0.3">
      <c r="A45" s="133" t="s">
        <v>189</v>
      </c>
      <c r="B45" s="134"/>
      <c r="C45" s="134"/>
      <c r="D45" s="134"/>
      <c r="E45" s="135"/>
      <c r="F45" s="136"/>
      <c r="G45" s="137"/>
      <c r="H45" s="138"/>
      <c r="I45" s="132"/>
      <c r="J45" s="2"/>
      <c r="K45" s="2"/>
    </row>
    <row r="46" spans="1:11" x14ac:dyDescent="0.3">
      <c r="J46" s="2"/>
      <c r="K46" s="2"/>
    </row>
    <row r="47" spans="1:11" x14ac:dyDescent="0.3">
      <c r="A47" s="139" t="s">
        <v>59</v>
      </c>
      <c r="B47" s="139"/>
      <c r="C47" s="139"/>
      <c r="D47" s="139"/>
      <c r="E47" s="139"/>
      <c r="F47" s="139"/>
      <c r="G47" s="139"/>
      <c r="H47" s="139"/>
      <c r="I47" s="139"/>
      <c r="J47" s="10"/>
      <c r="K47" s="2"/>
    </row>
    <row r="48" spans="1:11" ht="28.2" x14ac:dyDescent="0.35">
      <c r="A48" s="7"/>
      <c r="B48" s="7"/>
      <c r="C48" s="7"/>
      <c r="D48" s="24" t="s">
        <v>60</v>
      </c>
      <c r="E48" s="175"/>
      <c r="F48" s="176"/>
      <c r="G48" s="87"/>
      <c r="H48" s="87"/>
      <c r="I48" s="185" t="s">
        <v>61</v>
      </c>
      <c r="J48" s="2"/>
      <c r="K48" s="2"/>
    </row>
    <row r="49" spans="1:11" ht="18" x14ac:dyDescent="0.35">
      <c r="A49" s="7"/>
      <c r="B49" s="7"/>
      <c r="C49" s="7"/>
      <c r="D49" s="24" t="s">
        <v>62</v>
      </c>
      <c r="E49" s="122"/>
      <c r="F49" s="123"/>
      <c r="G49" s="76"/>
      <c r="H49" s="76"/>
      <c r="I49" s="186"/>
      <c r="J49" s="2"/>
      <c r="K49" s="2"/>
    </row>
    <row r="50" spans="1:11" ht="15.6" x14ac:dyDescent="0.3">
      <c r="A50" s="177" t="s">
        <v>63</v>
      </c>
      <c r="B50" s="178"/>
      <c r="C50" s="178"/>
      <c r="D50" s="179"/>
      <c r="E50" s="180" t="s">
        <v>64</v>
      </c>
      <c r="F50" s="181"/>
      <c r="G50" s="181"/>
      <c r="H50" s="182"/>
      <c r="I50" s="187"/>
      <c r="J50" s="2"/>
      <c r="K50" s="2"/>
    </row>
    <row r="51" spans="1:11" ht="24.6" customHeight="1" x14ac:dyDescent="0.3">
      <c r="A51" s="128" t="s">
        <v>193</v>
      </c>
      <c r="B51" s="129"/>
      <c r="C51" s="129"/>
      <c r="D51" s="130"/>
      <c r="E51" s="122"/>
      <c r="F51" s="123"/>
      <c r="G51" s="93"/>
      <c r="H51" s="92"/>
      <c r="I51" s="100"/>
      <c r="J51" s="2"/>
      <c r="K51" s="2"/>
    </row>
    <row r="52" spans="1:11" ht="24.6" customHeight="1" x14ac:dyDescent="0.3">
      <c r="A52" s="128" t="s">
        <v>194</v>
      </c>
      <c r="B52" s="129"/>
      <c r="C52" s="129"/>
      <c r="D52" s="130"/>
      <c r="E52" s="122"/>
      <c r="F52" s="123"/>
      <c r="G52" s="93"/>
      <c r="H52" s="92"/>
      <c r="I52" s="100"/>
      <c r="J52" s="2"/>
      <c r="K52" s="2"/>
    </row>
    <row r="53" spans="1:11" ht="24.6" customHeight="1" x14ac:dyDescent="0.3">
      <c r="A53" s="128" t="s">
        <v>195</v>
      </c>
      <c r="B53" s="129"/>
      <c r="C53" s="129"/>
      <c r="D53" s="130"/>
      <c r="E53" s="122"/>
      <c r="F53" s="123"/>
      <c r="G53" s="93"/>
      <c r="H53" s="92"/>
      <c r="I53" s="100"/>
      <c r="J53" s="2"/>
      <c r="K53" s="2"/>
    </row>
    <row r="54" spans="1:11" ht="24.6" customHeight="1" x14ac:dyDescent="0.3">
      <c r="A54" s="128" t="s">
        <v>196</v>
      </c>
      <c r="B54" s="129"/>
      <c r="C54" s="129"/>
      <c r="D54" s="130"/>
      <c r="E54" s="122"/>
      <c r="F54" s="123"/>
      <c r="G54" s="93"/>
      <c r="H54" s="93"/>
      <c r="I54" s="100"/>
      <c r="J54" s="2"/>
      <c r="K54" s="2"/>
    </row>
    <row r="55" spans="1:11" x14ac:dyDescent="0.3">
      <c r="A55" s="128" t="s">
        <v>197</v>
      </c>
      <c r="B55" s="129"/>
      <c r="C55" s="129"/>
      <c r="D55" s="130"/>
      <c r="E55" s="122"/>
      <c r="F55" s="123"/>
      <c r="G55" s="93"/>
      <c r="H55" s="93"/>
      <c r="I55" s="100"/>
      <c r="J55" s="2"/>
      <c r="K55" s="2"/>
    </row>
    <row r="56" spans="1:11" x14ac:dyDescent="0.3">
      <c r="A56" s="128" t="s">
        <v>198</v>
      </c>
      <c r="B56" s="129"/>
      <c r="C56" s="129"/>
      <c r="D56" s="130"/>
      <c r="E56" s="183"/>
      <c r="F56" s="184"/>
      <c r="G56" s="93"/>
      <c r="H56" s="93"/>
      <c r="I56" s="100"/>
      <c r="J56" s="2"/>
      <c r="K56" s="2"/>
    </row>
    <row r="57" spans="1:11" ht="24.6" customHeight="1" x14ac:dyDescent="0.3">
      <c r="A57" s="128" t="s">
        <v>199</v>
      </c>
      <c r="B57" s="129"/>
      <c r="C57" s="129"/>
      <c r="D57" s="130"/>
      <c r="E57" s="122"/>
      <c r="F57" s="123"/>
      <c r="G57" s="93"/>
      <c r="H57" s="93"/>
      <c r="I57" s="100"/>
      <c r="J57" s="2"/>
      <c r="K57" s="2"/>
    </row>
    <row r="58" spans="1:11" x14ac:dyDescent="0.3">
      <c r="A58" s="124"/>
      <c r="B58" s="124"/>
      <c r="C58" s="1"/>
      <c r="D58" s="1"/>
      <c r="E58" s="3"/>
      <c r="F58" s="1"/>
      <c r="G58" s="1"/>
      <c r="H58" s="1"/>
      <c r="I58" s="2"/>
      <c r="J58" s="2"/>
      <c r="K58" s="2"/>
    </row>
    <row r="59" spans="1:11" x14ac:dyDescent="0.3">
      <c r="A59" s="118"/>
      <c r="B59" s="118"/>
      <c r="C59" s="1"/>
      <c r="D59" s="1"/>
      <c r="E59" s="3"/>
      <c r="F59" s="1"/>
      <c r="G59" s="1"/>
      <c r="H59" s="1"/>
      <c r="I59" s="2"/>
      <c r="J59" s="2"/>
      <c r="K59" s="2"/>
    </row>
    <row r="60" spans="1:11" x14ac:dyDescent="0.3">
      <c r="A60" s="118"/>
      <c r="B60" s="118"/>
      <c r="C60" s="1"/>
      <c r="D60" s="1"/>
      <c r="E60" s="3"/>
      <c r="F60" s="1"/>
      <c r="G60" s="1"/>
      <c r="H60" s="1"/>
      <c r="I60" s="2"/>
      <c r="J60" s="2"/>
      <c r="K60" s="2"/>
    </row>
    <row r="61" spans="1:11" x14ac:dyDescent="0.3">
      <c r="A61" s="118"/>
      <c r="B61" s="118"/>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9:D9"/>
    <mergeCell ref="I9:I10"/>
    <mergeCell ref="A10:E10"/>
    <mergeCell ref="A11:D11"/>
    <mergeCell ref="I11:I12"/>
    <mergeCell ref="A12:E12"/>
    <mergeCell ref="B1:E1"/>
    <mergeCell ref="A2:B2"/>
    <mergeCell ref="A4:D7"/>
    <mergeCell ref="A8:D8"/>
    <mergeCell ref="F8:H8"/>
    <mergeCell ref="A15:D15"/>
    <mergeCell ref="I15:I16"/>
    <mergeCell ref="A16:E16"/>
    <mergeCell ref="A13:D13"/>
    <mergeCell ref="I13:I14"/>
    <mergeCell ref="A14:E14"/>
    <mergeCell ref="A17:D17"/>
    <mergeCell ref="I17:I18"/>
    <mergeCell ref="A18:E18"/>
    <mergeCell ref="A19:D19"/>
    <mergeCell ref="I19:I20"/>
    <mergeCell ref="A20:E20"/>
    <mergeCell ref="A21:D21"/>
    <mergeCell ref="I21:I22"/>
    <mergeCell ref="A22:E22"/>
    <mergeCell ref="A23:D23"/>
    <mergeCell ref="I23:I24"/>
    <mergeCell ref="A24:E24"/>
    <mergeCell ref="A25:D25"/>
    <mergeCell ref="I25:I26"/>
    <mergeCell ref="A26:E26"/>
    <mergeCell ref="A29:D29"/>
    <mergeCell ref="I29:I30"/>
    <mergeCell ref="A30:E30"/>
    <mergeCell ref="A27:D27"/>
    <mergeCell ref="I27:I28"/>
    <mergeCell ref="A28:E28"/>
    <mergeCell ref="A31:D31"/>
    <mergeCell ref="I31:I32"/>
    <mergeCell ref="A32:E32"/>
    <mergeCell ref="A36:I36"/>
    <mergeCell ref="A33:D33"/>
    <mergeCell ref="I33:I34"/>
    <mergeCell ref="A34:E34"/>
    <mergeCell ref="A35:D35"/>
    <mergeCell ref="A37:D37"/>
    <mergeCell ref="F37:H37"/>
    <mergeCell ref="A40:D40"/>
    <mergeCell ref="F40:H40"/>
    <mergeCell ref="I40:I41"/>
    <mergeCell ref="A41:E41"/>
    <mergeCell ref="F41:H41"/>
    <mergeCell ref="A38:D38"/>
    <mergeCell ref="F38:H38"/>
    <mergeCell ref="I38:I39"/>
    <mergeCell ref="A39:E39"/>
    <mergeCell ref="F39:H39"/>
    <mergeCell ref="A44:D44"/>
    <mergeCell ref="F44:H44"/>
    <mergeCell ref="I44:I45"/>
    <mergeCell ref="A45:E45"/>
    <mergeCell ref="F45:H45"/>
    <mergeCell ref="A42:D42"/>
    <mergeCell ref="F42:H42"/>
    <mergeCell ref="I42:I43"/>
    <mergeCell ref="A43:E43"/>
    <mergeCell ref="F43:H43"/>
    <mergeCell ref="A47:I47"/>
    <mergeCell ref="A51:D51"/>
    <mergeCell ref="E51:F51"/>
    <mergeCell ref="A52:D52"/>
    <mergeCell ref="E52:F52"/>
    <mergeCell ref="E48:F48"/>
    <mergeCell ref="I48:I50"/>
    <mergeCell ref="E49:F49"/>
    <mergeCell ref="A50:D50"/>
    <mergeCell ref="E50:H50"/>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4.4" x14ac:dyDescent="0.3"/>
  <cols>
    <col min="1" max="1" width="27.5546875" bestFit="1" customWidth="1"/>
    <col min="3" max="3" width="22.44140625" customWidth="1"/>
    <col min="5" max="5" width="26.44140625" customWidth="1"/>
    <col min="7" max="7" width="28.5546875" customWidth="1"/>
    <col min="9" max="9" width="15" customWidth="1"/>
    <col min="11" max="11" width="52.88671875" bestFit="1" customWidth="1"/>
  </cols>
  <sheetData>
    <row r="1" spans="1:11" x14ac:dyDescent="0.3">
      <c r="A1" t="s">
        <v>200</v>
      </c>
      <c r="C1" t="s">
        <v>201</v>
      </c>
      <c r="E1" t="s">
        <v>202</v>
      </c>
      <c r="G1" s="70" t="s">
        <v>203</v>
      </c>
      <c r="I1" t="s">
        <v>204</v>
      </c>
      <c r="K1" t="s">
        <v>205</v>
      </c>
    </row>
    <row r="2" spans="1:11" x14ac:dyDescent="0.3">
      <c r="A2" t="s">
        <v>206</v>
      </c>
      <c r="C2" t="s">
        <v>206</v>
      </c>
      <c r="E2" s="70"/>
      <c r="G2" s="70"/>
      <c r="I2" s="70"/>
      <c r="J2" s="70"/>
      <c r="K2" s="70"/>
    </row>
    <row r="3" spans="1:11" x14ac:dyDescent="0.3">
      <c r="A3" t="s">
        <v>75</v>
      </c>
      <c r="C3" t="s">
        <v>207</v>
      </c>
      <c r="E3" s="70">
        <v>4</v>
      </c>
      <c r="G3" s="70">
        <v>3</v>
      </c>
      <c r="I3" s="70">
        <v>10</v>
      </c>
      <c r="J3" s="70"/>
      <c r="K3" s="70" t="s">
        <v>208</v>
      </c>
    </row>
    <row r="4" spans="1:11" x14ac:dyDescent="0.3">
      <c r="A4" t="s">
        <v>209</v>
      </c>
      <c r="C4" t="s">
        <v>210</v>
      </c>
      <c r="E4" s="70">
        <v>0</v>
      </c>
      <c r="G4" s="70">
        <v>0</v>
      </c>
      <c r="I4" s="70">
        <v>0</v>
      </c>
      <c r="J4" s="70"/>
      <c r="K4" s="70" t="s">
        <v>211</v>
      </c>
    </row>
    <row r="5" spans="1:11" x14ac:dyDescent="0.3">
      <c r="A5" t="s">
        <v>212</v>
      </c>
      <c r="C5" t="s">
        <v>213</v>
      </c>
      <c r="E5" s="70" t="s">
        <v>45</v>
      </c>
      <c r="G5" s="70" t="s">
        <v>45</v>
      </c>
      <c r="I5" s="70" t="s">
        <v>45</v>
      </c>
      <c r="J5" s="70"/>
    </row>
    <row r="6" spans="1:11" x14ac:dyDescent="0.3">
      <c r="A6" t="s">
        <v>214</v>
      </c>
      <c r="C6" t="s">
        <v>75</v>
      </c>
      <c r="K6" t="s">
        <v>215</v>
      </c>
    </row>
    <row r="7" spans="1:11" x14ac:dyDescent="0.3">
      <c r="A7" t="s">
        <v>216</v>
      </c>
      <c r="C7" t="s">
        <v>217</v>
      </c>
      <c r="I7" t="s">
        <v>218</v>
      </c>
    </row>
    <row r="8" spans="1:11" x14ac:dyDescent="0.3">
      <c r="A8" t="s">
        <v>219</v>
      </c>
      <c r="C8" t="s">
        <v>74</v>
      </c>
      <c r="I8" s="71"/>
      <c r="K8" s="72" t="s">
        <v>2</v>
      </c>
    </row>
    <row r="9" spans="1:11" x14ac:dyDescent="0.3">
      <c r="A9" t="s">
        <v>220</v>
      </c>
      <c r="C9" t="s">
        <v>221</v>
      </c>
      <c r="I9" s="71" t="s">
        <v>222</v>
      </c>
      <c r="K9" s="73" t="s">
        <v>223</v>
      </c>
    </row>
    <row r="10" spans="1:11" x14ac:dyDescent="0.3">
      <c r="I10" s="71" t="s">
        <v>224</v>
      </c>
      <c r="K10" s="72" t="s">
        <v>225</v>
      </c>
    </row>
    <row r="11" spans="1:11" x14ac:dyDescent="0.3">
      <c r="E11" t="s">
        <v>226</v>
      </c>
      <c r="G11" t="s">
        <v>227</v>
      </c>
      <c r="I11" s="71" t="s">
        <v>228</v>
      </c>
      <c r="K11" s="73" t="s">
        <v>229</v>
      </c>
    </row>
    <row r="12" spans="1:11" x14ac:dyDescent="0.3">
      <c r="A12" t="s">
        <v>153</v>
      </c>
      <c r="C12" t="s">
        <v>230</v>
      </c>
      <c r="E12" t="s">
        <v>206</v>
      </c>
      <c r="G12" t="s">
        <v>206</v>
      </c>
      <c r="I12" s="71" t="s">
        <v>231</v>
      </c>
      <c r="K12" s="72" t="s">
        <v>232</v>
      </c>
    </row>
    <row r="13" spans="1:11" x14ac:dyDescent="0.3">
      <c r="A13" t="s">
        <v>206</v>
      </c>
      <c r="C13" t="s">
        <v>206</v>
      </c>
      <c r="E13" t="s">
        <v>233</v>
      </c>
      <c r="G13" t="s">
        <v>234</v>
      </c>
      <c r="I13" s="71" t="s">
        <v>235</v>
      </c>
      <c r="K13" s="73" t="s">
        <v>236</v>
      </c>
    </row>
    <row r="14" spans="1:11" x14ac:dyDescent="0.3">
      <c r="A14" t="s">
        <v>154</v>
      </c>
      <c r="C14" t="s">
        <v>151</v>
      </c>
      <c r="E14" t="s">
        <v>237</v>
      </c>
      <c r="G14" t="s">
        <v>238</v>
      </c>
      <c r="I14" s="71" t="s">
        <v>239</v>
      </c>
      <c r="K14" s="72" t="s">
        <v>240</v>
      </c>
    </row>
    <row r="15" spans="1:11" x14ac:dyDescent="0.3">
      <c r="A15" t="s">
        <v>241</v>
      </c>
      <c r="C15" t="s">
        <v>152</v>
      </c>
      <c r="E15" t="s">
        <v>242</v>
      </c>
      <c r="G15" t="s">
        <v>243</v>
      </c>
      <c r="I15" s="71" t="s">
        <v>4</v>
      </c>
      <c r="K15" s="73" t="s">
        <v>244</v>
      </c>
    </row>
    <row r="16" spans="1:11" x14ac:dyDescent="0.3">
      <c r="A16" t="s">
        <v>155</v>
      </c>
      <c r="C16" t="s">
        <v>245</v>
      </c>
      <c r="E16" t="s">
        <v>246</v>
      </c>
      <c r="I16" s="71" t="s">
        <v>247</v>
      </c>
      <c r="K16" s="72" t="s">
        <v>248</v>
      </c>
    </row>
    <row r="17" spans="1:11" x14ac:dyDescent="0.3">
      <c r="A17" t="s">
        <v>249</v>
      </c>
      <c r="C17" t="s">
        <v>250</v>
      </c>
      <c r="E17" t="s">
        <v>212</v>
      </c>
      <c r="G17" t="s">
        <v>251</v>
      </c>
      <c r="I17" s="71" t="s">
        <v>252</v>
      </c>
      <c r="K17" s="73" t="s">
        <v>253</v>
      </c>
    </row>
    <row r="18" spans="1:11" x14ac:dyDescent="0.3">
      <c r="A18" t="s">
        <v>254</v>
      </c>
      <c r="E18" t="s">
        <v>255</v>
      </c>
      <c r="G18" t="s">
        <v>206</v>
      </c>
      <c r="I18" s="71" t="s">
        <v>256</v>
      </c>
      <c r="K18" s="72" t="s">
        <v>257</v>
      </c>
    </row>
    <row r="19" spans="1:11" x14ac:dyDescent="0.3">
      <c r="A19" t="s">
        <v>258</v>
      </c>
      <c r="C19" t="s">
        <v>259</v>
      </c>
      <c r="E19" t="s">
        <v>260</v>
      </c>
      <c r="G19" t="s">
        <v>105</v>
      </c>
      <c r="I19" s="71" t="s">
        <v>261</v>
      </c>
      <c r="K19" s="73" t="s">
        <v>262</v>
      </c>
    </row>
    <row r="20" spans="1:11" x14ac:dyDescent="0.3">
      <c r="A20" t="s">
        <v>156</v>
      </c>
      <c r="C20" t="s">
        <v>206</v>
      </c>
      <c r="G20" t="s">
        <v>263</v>
      </c>
      <c r="I20" s="71" t="s">
        <v>264</v>
      </c>
      <c r="K20" s="72" t="s">
        <v>265</v>
      </c>
    </row>
    <row r="21" spans="1:11" x14ac:dyDescent="0.3">
      <c r="C21" t="s">
        <v>266</v>
      </c>
      <c r="E21" t="s">
        <v>267</v>
      </c>
      <c r="G21" t="s">
        <v>268</v>
      </c>
      <c r="K21" s="73" t="s">
        <v>269</v>
      </c>
    </row>
    <row r="22" spans="1:11" x14ac:dyDescent="0.3">
      <c r="A22" t="s">
        <v>270</v>
      </c>
      <c r="C22" t="s">
        <v>271</v>
      </c>
      <c r="E22" t="s">
        <v>206</v>
      </c>
      <c r="G22" t="s">
        <v>272</v>
      </c>
      <c r="K22" s="72" t="s">
        <v>273</v>
      </c>
    </row>
    <row r="23" spans="1:11" x14ac:dyDescent="0.3">
      <c r="A23" t="s">
        <v>206</v>
      </c>
      <c r="C23" t="s">
        <v>274</v>
      </c>
      <c r="E23" t="s">
        <v>275</v>
      </c>
      <c r="G23" t="s">
        <v>45</v>
      </c>
      <c r="K23" s="73" t="s">
        <v>276</v>
      </c>
    </row>
    <row r="24" spans="1:11" x14ac:dyDescent="0.3">
      <c r="A24" t="s">
        <v>277</v>
      </c>
      <c r="C24" t="s">
        <v>31</v>
      </c>
      <c r="E24" t="s">
        <v>278</v>
      </c>
      <c r="K24" s="72" t="s">
        <v>279</v>
      </c>
    </row>
    <row r="25" spans="1:11" x14ac:dyDescent="0.3">
      <c r="A25" t="s">
        <v>212</v>
      </c>
      <c r="C25" t="s">
        <v>280</v>
      </c>
      <c r="E25" t="s">
        <v>105</v>
      </c>
      <c r="K25" s="72" t="s">
        <v>281</v>
      </c>
    </row>
    <row r="26" spans="1:11" x14ac:dyDescent="0.3">
      <c r="A26" t="s">
        <v>282</v>
      </c>
      <c r="C26" t="s">
        <v>32</v>
      </c>
      <c r="E26" t="s">
        <v>104</v>
      </c>
      <c r="K26" s="73" t="s">
        <v>283</v>
      </c>
    </row>
    <row r="27" spans="1:11" x14ac:dyDescent="0.3">
      <c r="A27" s="74" t="s">
        <v>29</v>
      </c>
      <c r="C27" t="s">
        <v>284</v>
      </c>
      <c r="E27" t="s">
        <v>272</v>
      </c>
      <c r="K27" s="72" t="s">
        <v>285</v>
      </c>
    </row>
    <row r="28" spans="1:11" x14ac:dyDescent="0.3">
      <c r="A28" t="s">
        <v>286</v>
      </c>
      <c r="C28" t="s">
        <v>287</v>
      </c>
      <c r="E28" t="s">
        <v>288</v>
      </c>
      <c r="K28" s="73" t="s">
        <v>289</v>
      </c>
    </row>
    <row r="29" spans="1:11" x14ac:dyDescent="0.3">
      <c r="C29" t="s">
        <v>212</v>
      </c>
      <c r="E29" t="s">
        <v>212</v>
      </c>
      <c r="K29" s="72" t="s">
        <v>290</v>
      </c>
    </row>
    <row r="30" spans="1:11" x14ac:dyDescent="0.3">
      <c r="K30" s="73" t="s">
        <v>291</v>
      </c>
    </row>
    <row r="31" spans="1:11" x14ac:dyDescent="0.3">
      <c r="K31" s="72" t="s">
        <v>292</v>
      </c>
    </row>
    <row r="32" spans="1:11" x14ac:dyDescent="0.3">
      <c r="K32" s="73" t="s">
        <v>293</v>
      </c>
    </row>
    <row r="33" spans="11:11" x14ac:dyDescent="0.3">
      <c r="K33" s="72" t="s">
        <v>294</v>
      </c>
    </row>
    <row r="34" spans="11:11" x14ac:dyDescent="0.3">
      <c r="K34" s="73" t="s">
        <v>295</v>
      </c>
    </row>
    <row r="35" spans="11:11" x14ac:dyDescent="0.3">
      <c r="K35" s="72" t="s">
        <v>296</v>
      </c>
    </row>
    <row r="36" spans="11:11" x14ac:dyDescent="0.3">
      <c r="K36" s="73" t="s">
        <v>297</v>
      </c>
    </row>
    <row r="37" spans="11:11" x14ac:dyDescent="0.3">
      <c r="K37" s="72" t="s">
        <v>298</v>
      </c>
    </row>
    <row r="38" spans="11:11" x14ac:dyDescent="0.3">
      <c r="K38" s="73" t="s">
        <v>299</v>
      </c>
    </row>
    <row r="39" spans="11:11" x14ac:dyDescent="0.3">
      <c r="K39" s="72" t="s">
        <v>300</v>
      </c>
    </row>
    <row r="40" spans="11:11" x14ac:dyDescent="0.3">
      <c r="K40" s="73" t="s">
        <v>301</v>
      </c>
    </row>
    <row r="41" spans="11:11" x14ac:dyDescent="0.3">
      <c r="K41" s="72" t="s">
        <v>302</v>
      </c>
    </row>
    <row r="42" spans="11:11" x14ac:dyDescent="0.3">
      <c r="K42" s="73" t="s">
        <v>303</v>
      </c>
    </row>
    <row r="43" spans="11:11" x14ac:dyDescent="0.3">
      <c r="K43" s="72" t="s">
        <v>304</v>
      </c>
    </row>
    <row r="44" spans="11:11" x14ac:dyDescent="0.3">
      <c r="K44" s="73" t="s">
        <v>305</v>
      </c>
    </row>
    <row r="45" spans="11:11" x14ac:dyDescent="0.3">
      <c r="K45" s="72" t="s">
        <v>306</v>
      </c>
    </row>
    <row r="46" spans="11:11" x14ac:dyDescent="0.3">
      <c r="K46" s="73" t="s">
        <v>307</v>
      </c>
    </row>
    <row r="47" spans="11:11" x14ac:dyDescent="0.3">
      <c r="K47" s="72" t="s">
        <v>308</v>
      </c>
    </row>
    <row r="48" spans="11:11" x14ac:dyDescent="0.3">
      <c r="K48" s="72" t="s">
        <v>309</v>
      </c>
    </row>
    <row r="49" spans="11:11" x14ac:dyDescent="0.3">
      <c r="K49" s="73" t="s">
        <v>310</v>
      </c>
    </row>
    <row r="50" spans="11:11" x14ac:dyDescent="0.3">
      <c r="K50" s="72" t="s">
        <v>311</v>
      </c>
    </row>
    <row r="51" spans="11:11" x14ac:dyDescent="0.3">
      <c r="K51" s="73" t="s">
        <v>312</v>
      </c>
    </row>
    <row r="52" spans="11:11" x14ac:dyDescent="0.3">
      <c r="K52" s="72" t="s">
        <v>313</v>
      </c>
    </row>
    <row r="53" spans="11:11" x14ac:dyDescent="0.3">
      <c r="K53" s="73" t="s">
        <v>314</v>
      </c>
    </row>
    <row r="54" spans="11:11" x14ac:dyDescent="0.3">
      <c r="K54" s="75" t="s">
        <v>315</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2025-12-29T19:11:02+00:00</DateandTime>
    <TaggedinAsana xmlns="ef933668-6965-47a8-8ce8-1d49a4b58b54">false</TaggedinAsana>
    <TaxCatchAll xmlns="812384cb-a50e-43db-9caf-5c3b6c9eb0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1F7C71-6C15-4E57-B310-B05E80DFC11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2BDED2E-8D40-4E7E-9F61-D4883C999A6E}">
  <ds:schemaRefs>
    <ds:schemaRef ds:uri="http://schemas.microsoft.com/sharepoint/v3/contenttype/forms"/>
  </ds:schemaRefs>
</ds:datastoreItem>
</file>

<file path=customXml/itemProps3.xml><?xml version="1.0" encoding="utf-8"?>
<ds:datastoreItem xmlns:ds="http://schemas.openxmlformats.org/officeDocument/2006/customXml" ds:itemID="{62BF1870-C672-4917-99ED-8018D1FF096F}"/>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Abuse &amp; Grievances</vt:lpstr>
      <vt:lpstr>Accidents &amp; Incidents</vt:lpstr>
      <vt:lpstr>Infection Prevention &amp; Control</vt:lpstr>
      <vt:lpstr>Skin Integrity &amp; Wounds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Meg McDaniel</cp:lastModifiedBy>
  <cp:revision/>
  <dcterms:created xsi:type="dcterms:W3CDTF">2025-03-14T05:17:32Z</dcterms:created>
  <dcterms:modified xsi:type="dcterms:W3CDTF">2025-12-29T19:03:24Z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