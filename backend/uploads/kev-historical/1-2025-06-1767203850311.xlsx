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ascadiahcdirectory-my.sharepoint.com/personal/mmcdaniel_cascadiahc_com/Documents/Desktop/Alderwood/2025/Scorecards and Onsites 2025/"/>
    </mc:Choice>
  </mc:AlternateContent>
  <xr:revisionPtr revIDLastSave="0" documentId="8_{C4D67A26-FE3E-4220-A6F9-D59CF39BFB17}" xr6:coauthVersionLast="47" xr6:coauthVersionMax="47" xr10:uidLastSave="{00000000-0000-0000-0000-000000000000}"/>
  <bookViews>
    <workbookView xWindow="2652" yWindow="2652" windowWidth="17280" windowHeight="8880" activeTab="1"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<sst xmlns="http://schemas.openxmlformats.org/spreadsheetml/2006/main" count="481" uniqueCount="318">
  <si>
    <t>KEV Score Cards Review</t>
  </si>
  <si>
    <t>Facility Name:</t>
  </si>
  <si>
    <t>Alderwood Park</t>
  </si>
  <si>
    <t>Review Period:</t>
  </si>
  <si>
    <t>June 2025</t>
  </si>
  <si>
    <t>Date of Completion:</t>
  </si>
  <si>
    <t>Audit Completed By:</t>
  </si>
  <si>
    <t>Meg McDaniel</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</si>
  <si>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</si>
  <si>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</si>
  <si>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</si>
  <si>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</si>
  <si>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</si>
  <si>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</si>
  <si>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</si>
  <si>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</si>
  <si>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</si>
  <si>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</si>
  <si>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</si>
  <si>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</si>
  <si>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</si>
  <si>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92.31%%</t>
  </si>
  <si>
    <t>Date:</t>
  </si>
  <si>
    <t>Reviewer:</t>
  </si>
  <si>
    <r>
      <t xml:space="preserve">Key Element Validation:                 </t>
    </r>
    <r>
      <rPr>
        <b/>
        <i/>
        <sz val="14"/>
        <color rgb="FF000000"/>
        <rFont val="Arial Narrow"/>
        <family val="2"/>
      </rPr>
      <t>Abuse &amp; Grievances</t>
    </r>
  </si>
  <si>
    <t>Resident Name:</t>
  </si>
  <si>
    <t>Helen Ryan</t>
  </si>
  <si>
    <t>Tarry Moena</t>
  </si>
  <si>
    <t>Charles Teel</t>
  </si>
  <si>
    <t>Resident Selection:</t>
  </si>
  <si>
    <t>Risk Management</t>
  </si>
  <si>
    <t>Abuse Type:</t>
  </si>
  <si>
    <t>Neglect</t>
  </si>
  <si>
    <t>Incident Description</t>
  </si>
  <si>
    <t>6/10 Injury of unknown origin</t>
  </si>
  <si>
    <t>6/17 allegation of neglect</t>
  </si>
  <si>
    <t>6/21 Unexpected Death</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</si>
  <si>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</si>
  <si>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</si>
  <si>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</si>
  <si>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</si>
  <si>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</si>
  <si>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</si>
  <si>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t xml:space="preserve">Unable to review. Grievance log not uploaded into folder on Teams. They have been doing pretty good with uploading, but did not this month. I will send the link again or I can put the link on your communications? I also offered to do a training of how to make their log a working/live file instead of scanning and uploading so that it was always active, all department heads would have access and they wouldn't have to send to me frequently. let me know if you want me to help them set this up. Wanted to get your preference and permission first!
</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</si>
  <si>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</si>
  <si>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N/A</t>
  </si>
  <si>
    <t>2) Comments:</t>
  </si>
  <si>
    <t xml:space="preserve">I could not give partial points here, it's all or nothing... There is a couple that require follow up to make sure they are not allegations. There is a comment from Rod S. on the Resident Council Minutes about leaving the facility and staff not letting him leave, the way that it reads is not left good in the imagination "I cannot leave the facility. I even tried to leave on WTA with my daughter and staff made me get off".  I'm sure when you guys go and clarify and reword how/what was said, this is not going to be a big deal, but as resident council notes read now this is an open rabbit hole for Jacie to jump into.
There is another one about a hospitality aide telling the resident they couldn't help them with something (this one just needs education to the resident about what the aides vs hospitality aides can do). 
There are a couple grievances about laundry and clothes but since i didn't get the grievance log, I can't validate that they were followed up on.
</t>
  </si>
  <si>
    <t xml:space="preserve">Full transparency and honesty.. I could have done better this month about reaching out and pushing for the grievance log to be uploaded but I sometimes ask several times before I get it and they may need a lil push from your side to set the expectation and not need reminding. My bad as well, I should have told you earlier that they forget and take a lot of pushing! This is first timie for full scores, so we will all improve!
</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</si>
  <si>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</si>
  <si>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</si>
  <si>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t>State reportable log not fully updated with information about if &amp; when reported, by whom and if the 5 day f/u was complete and uploaded.
Clinical Resource not updated when event occurred.
Packet not uploaded into folder on Teams for Resource review.</t>
  </si>
  <si>
    <t>"State reportable log not fully updated with information about if &amp; when reported, by whom and if the 5 day f/u was complete and uploaded.
Clinical Resource not updated when event occurred."
Packet not uploaded into folder on Teams for Resource review.</t>
  </si>
  <si>
    <t xml:space="preserve">I was notified of this event.
Log not updated with info similar to other 2 incidents.
Packet not uploaded into folder on Teams for Resource review.
</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</si>
  <si>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</si>
  <si>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</si>
  <si>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</si>
  <si>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</si>
  <si>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 xml:space="preserve">There is a discharge planning PIP opened in Abaqis but it had a close date of May 31 and there is no documentation or supporting documents uploaded into the PIP. I'm not sure if this is being documented outside of Abaqis? If so, I can review and give you points. Did not see other open PIPs for events or concerns identified being tracked through the QAPI process.
</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</si>
  <si>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</si>
  <si>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</si>
  <si>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</si>
  <si>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</si>
  <si>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</si>
  <si>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</si>
  <si>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</si>
  <si>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</si>
  <si>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</si>
  <si>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</si>
  <si>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</si>
  <si>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</si>
  <si>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</si>
  <si>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r>
      <t xml:space="preserve">Key Element Validation:                  </t>
    </r>
    <r>
      <rPr>
        <b/>
        <i/>
        <sz val="14"/>
        <color rgb="FF000000"/>
        <rFont val="Arial Narrow"/>
        <family val="2"/>
      </rPr>
      <t>Accidents &amp; Incidents</t>
    </r>
  </si>
  <si>
    <t>Jean Andrews</t>
  </si>
  <si>
    <t>Jaswinder Kaur</t>
  </si>
  <si>
    <t>John Yarbrough</t>
  </si>
  <si>
    <t>Fall</t>
  </si>
  <si>
    <t>Change of Condition</t>
  </si>
  <si>
    <t>Event Type:</t>
  </si>
  <si>
    <t>Other</t>
  </si>
  <si>
    <t>6/5 fall in res room</t>
  </si>
  <si>
    <t>6/16 Skin Issue</t>
  </si>
  <si>
    <t>6/27 fall in res room</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</si>
  <si>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</si>
  <si>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</si>
  <si>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t xml:space="preserve">There is nowhere in his summary or root cause analysis that addresses the fact that his sinemet was just increased - Sinemet will cause temporary drops in your blood pressure when you stand up after sitting. This is most likely the cause of this event. When he had his med increased, and he was being put on alert for the increase, this is what the nurses should be monitoring for as one of the adverse side effects and for staff to be more aware of in following days after an increase.
</t>
  </si>
  <si>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</si>
  <si>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t xml:space="preserve"> No root cause analysis complete to determine appropirate interventions. Soft call light was added but does not explain why this was the intervention (how not having one related to how he fell). Summary does not include what staff did prior, when last checked, and HOW we ruled out abuse and neglect based on that information. Another added intervention was "educating staff about proper positioning in bed' - but WHY.. EXPLAIN!</t>
  </si>
  <si>
    <t xml:space="preserve">On the Summary that Manroop wrote, one of the contributing factors was "incontinence" but the skin impairment is on her upper shoulder...
The root cause is listed as "Malnutrition, Alzheimer's Disase" - those are not the root cause, those can be contributing factors. HOW did she get the scratch/abrasion, what is likely related or reasonably related to? How did the injury actually occur. No root cause analysis complete.
There is no intervention. The interventions in the summary are the treatments, but there is no intervention for preventing further abrasions.It says care plan reviewed and revised, but with what??
</t>
  </si>
  <si>
    <t xml:space="preserve">Resident immeditately stated at time of incident that he was dizzy and that's why he fell. Their immediate intervention was to do frequent checks and reminders with education for him to use the call light for assist. The BIMS was not complete on 6/16. The bottom section was left blank. The score auto populated, but does not really summarize his evaluation. 
The summary indicates the root cause is "hemiplegia muscle weakness, and parkinsonism" - but again, these could be contributing factors or have manifestations that contribute but not the root cause of the event. The resident said he was dizzy, he has an order for meclizine, so there is a history of dizziness. That is not even addressed in the root cause analysis with a further deep dive of what is causing the dizziness. She goes on to state that he gets inpatient and doesn't wait for staff.. but does not summarize how long he had to wait for staff or when the last time they were in, was his call light within reach, what did he need (was it something that he had been waiting a long time for or something that could have been left within reach). There is no root cause analysis complete and abuse and neglect hasn't been ruled out because there is no mention or review of when/what/how often staff had been ini to assist.
Intervention: no root cause analysis, therefore can't conclude that this is an appropriate intervention. One of the items on interventions was for him to wait for help to assist him in the bathroom.. can he have a urinal at bedside, especially if he gets dizzy. This may eliminate need for standing and getting dizzy. Also, with the dizziness, I see that he has a history and an order but why not do orthostatics at the inmediate timie of incident to determine if he is having orthostatic hypotension as well as what other reasons he has for getting dizzy. (OF NOTE: he had several very low blood pressures the following days after the incident. There is nowhere in his summary or root cause analysis that addresses the fact that his sinemet was just increased - Sinemet will cause temporary drops in your blood pressure when you stand up after sitting. This is most likely the cause of this event. When he had his med increased, and he was being put on alert for the increase, this is what the nurses should be monitoring for as one of the adverse side effects and for staff to be more aware of in following days after an increase.
</t>
  </si>
  <si>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</si>
  <si>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t>There is no IDT note for the event. In fact, there are no progress notes for the event at all. Does not look like resident was put on alert or even a late entry was put in about this incident.</t>
  </si>
  <si>
    <t>I don't believe this type of small skin impairment would require an IDT meeting. However, there is a system problem with the RCMs needing more education about not doing a root cause analysis and implementing appropriate interventions for the root cause identified.</t>
  </si>
  <si>
    <t>No IDT review of incident. It's very likely that if you guys had a discussion, one of the very smartie pants' on your nurse manager team (you or Debbie or Sophie) - would have caught the Sinemet! And then your summary and investigation would close the loop by ruling out abuse and neglect and helping plan a more appropriate intervention!</t>
  </si>
  <si>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</si>
  <si>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</si>
  <si>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</si>
  <si>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</si>
  <si>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</si>
  <si>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</si>
  <si>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</si>
  <si>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</si>
  <si>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</si>
  <si>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r>
      <t xml:space="preserve">Key Element Validation:                           </t>
    </r>
    <r>
      <rPr>
        <b/>
        <i/>
        <sz val="14"/>
        <color rgb="FF000000"/>
        <rFont val="Arial Narrow"/>
        <family val="2"/>
      </rPr>
      <t>Infection Prevention &amp; Control</t>
    </r>
  </si>
  <si>
    <t>Melody Kehres</t>
  </si>
  <si>
    <t>Ray M.</t>
  </si>
  <si>
    <t>Jess Brewster</t>
  </si>
  <si>
    <t>Active Infection</t>
  </si>
  <si>
    <t>Precaution Type:</t>
  </si>
  <si>
    <t>EBP</t>
  </si>
  <si>
    <t>Item Description</t>
  </si>
  <si>
    <t>metronidazole oral 6/16</t>
  </si>
  <si>
    <t>augmentin oral 7/2</t>
  </si>
  <si>
    <t>vanco &amp; ceftriaxone 6/26</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</si>
  <si>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</si>
  <si>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</si>
  <si>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</si>
  <si>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</si>
  <si>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 xml:space="preserve">I would give Becki a tip to make sure she is filling out the entirety of the infection report evaluation. She left the provider's name off and the responsible party name and date resp. party notified. Having this done in the evaluation will help you guys with notification if the nurse on the floor forgets to document in the prog note. Like at safety net!
</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</si>
  <si>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</si>
  <si>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</si>
  <si>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</si>
  <si>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</si>
  <si>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</si>
  <si>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t xml:space="preserve">You got full points for this because i did not get an opportunity to come validate, I will be doing that in the next couple of weeks and you'll get your findings on the July Scorecard.
</t>
  </si>
  <si>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</si>
  <si>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</si>
  <si>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</si>
  <si>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</si>
  <si>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</si>
  <si>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</si>
  <si>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</si>
  <si>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</si>
  <si>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</si>
  <si>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</si>
  <si>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</si>
  <si>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</si>
  <si>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</si>
  <si>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</si>
  <si>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</si>
  <si>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</si>
  <si>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</si>
  <si>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</si>
  <si>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</si>
  <si>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</si>
  <si>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t>Amy Abraham</t>
  </si>
  <si>
    <r>
      <t xml:space="preserve">Key Element Validation: </t>
    </r>
    <r>
      <rPr>
        <b/>
        <i/>
        <sz val="14"/>
        <color rgb="FF000000"/>
        <rFont val="Arial Narrow"/>
        <family val="2"/>
      </rPr>
      <t>Skin Integrity &amp; Wounds</t>
    </r>
  </si>
  <si>
    <t>Julee Anderson</t>
  </si>
  <si>
    <t>Pauline Rose</t>
  </si>
  <si>
    <t>Terrry Wittenbarger</t>
  </si>
  <si>
    <t>Admit with Wound</t>
  </si>
  <si>
    <t>Wound Status</t>
  </si>
  <si>
    <t>Stable</t>
  </si>
  <si>
    <t>Stalled</t>
  </si>
  <si>
    <t>Improving</t>
  </si>
  <si>
    <t>Wounds #1-#4</t>
  </si>
  <si>
    <t>Mult wounds</t>
  </si>
  <si>
    <t>POA PU unstageable sacrum wound #1</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</si>
  <si>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</si>
  <si>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</si>
  <si>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</si>
  <si>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</si>
  <si>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</si>
  <si>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POA</t>
  </si>
  <si>
    <t>See line 24</t>
  </si>
  <si>
    <t>POA - dressing order in place</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</si>
  <si>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</si>
  <si>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</si>
  <si>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Dressing order from 6/19 (now discontinued as of 6/26) did not match order given 6/19. It is summarized and missing detail. Leaves out steri strips,skin prep, leaving wick and frequency detail. Would transcribe as written. It is noted this was received for upload almost a week after reviewing but was uploaded 6/26. As of the time I am reviewing there is not active orders but suspect this may be due to wound rounding. Is it necessary to keep the wound vac orders on hold versus d/c and re-implement if adds again?</t>
  </si>
  <si>
    <t>Unable to view excelled healing notes</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</si>
  <si>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</si>
  <si>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t>orders not updated timely- see note above</t>
  </si>
  <si>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</si>
  <si>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FYI- the evaluations need updated with accruate staging for rt scapula and left lower back. They are listed as stage 3 and they are stage 4 per wound specialist notes</t>
  </si>
  <si>
    <t>Wound #6 assessment with gaps greater than 7 days. 6/6 and then 6/20. Did have wound center visit on 6/11 but still gap in between 6/11 to 6/20.                  See also table provided to facility on 6/27/25 that reviews/compares wound center to PCC orders/skin and wound/ RCA if IHA and care plan in place.                                           Does Resident need assist with University of Washington follow up / Has a referral order in active orders for this also since 12/13/24. (plastic surgery referral)
Notes leaking foley may contribute to thigh wounds
Would d/c Peacehealth referral from 2/3 as appears order was already done.
Has a determination been made about rsd wearing briefs? Last 2 visit notes from wound center indicate they think the briefs are exaserbating the wounds. An investigation for skin issue 12/6/24 notes briefs were removed d/t causing skin issue.
Some of the wounds do not have etiology with them. Would request the etiology from the wound center. They are calling some ulcer but don't indicate the type of ulcer or stage or facility RN could clarify (wound by colostomy, rt post thigh, rt lower extremity- there is an investigation that says this is pressure )
Care plan interventions need reviewed- does rsd still have wound vac? No orders indicate wound vac but has several wound vac interventions in PI care plan.
FYI- NAR notes do not include all wounds. Could refer to wound center notes versus listing all.</t>
  </si>
  <si>
    <r>
      <rPr>
        <b/>
        <sz val="10"/>
        <color rgb="FF000000"/>
        <rFont val="Arial Narrow"/>
        <family val="2"/>
      </rPr>
      <t xml:space="preserve">9) </t>
    </r>
    <r>
      <rPr>
        <sz val="10"/>
        <color rgb="FF000000"/>
        <rFont val="Arial Narrow"/>
        <family val="2"/>
      </rPr>
      <t>Is the resident and/or resident representative aware of current wound status?</t>
    </r>
  </si>
  <si>
    <t>did not see evidence of this notification</t>
  </si>
  <si>
    <r>
      <t xml:space="preserve">10) </t>
    </r>
    <r>
      <rPr>
        <sz val="10"/>
        <color rgb="FF000000"/>
        <rFont val="Arial Narrow"/>
        <family val="2"/>
      </rPr>
      <t xml:space="preserve"> Was physician notified of new wound or change in wound status?</t>
    </r>
  </si>
  <si>
    <t>followed by UWH</t>
  </si>
  <si>
    <t>is noted in wound visit notes</t>
  </si>
  <si>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</si>
  <si>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</si>
  <si>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Care plan needs updated to current wounds in focus.- locations and staging</t>
  </si>
  <si>
    <t xml:space="preserve">Rsd has an actual PU breakdown care plan but does not have a skin at risk care plan. </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</si>
  <si>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</si>
  <si>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Did not see evidence of this process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</si>
  <si>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</si>
  <si>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</si>
  <si>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</si>
  <si>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</si>
  <si>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</si>
  <si>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</si>
  <si>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</si>
  <si>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</si>
  <si>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</si>
  <si>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</si>
  <si>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</si>
  <si>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</si>
  <si>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</si>
  <si>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</si>
  <si>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</si>
  <si>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</si>
  <si>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</si>
  <si>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</si>
  <si>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</si>
  <si>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</si>
  <si>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</si>
  <si>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Select One:</t>
  </si>
  <si>
    <t>Admit Last 30 Days</t>
  </si>
  <si>
    <t>Yes</t>
  </si>
  <si>
    <t>Near Miss</t>
  </si>
  <si>
    <t>No</t>
  </si>
  <si>
    <t>ER Visit</t>
  </si>
  <si>
    <t>Resident Altercation</t>
  </si>
  <si>
    <t>Facility Name</t>
  </si>
  <si>
    <t>Safety/Entrapment</t>
  </si>
  <si>
    <t>Medication Error</t>
  </si>
  <si>
    <t>Review Period</t>
  </si>
  <si>
    <t>Smoking</t>
  </si>
  <si>
    <t>Repeat Fall</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</si>
  <si>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</si>
  <si>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</si>
  <si>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</si>
  <si>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</si>
  <si>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</si>
  <si>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</si>
  <si>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</si>
  <si>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</si>
  <si>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</si>
  <si>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</si>
  <si>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</si>
  <si>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</si>
  <si>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Brookfield</t>
  </si>
  <si>
    <t>ALF</t>
  </si>
  <si>
    <t>Death</t>
  </si>
  <si>
    <t>May 2025</t>
  </si>
  <si>
    <t>Caldwell Care</t>
  </si>
  <si>
    <t>Deteriorating</t>
  </si>
  <si>
    <t>Home</t>
  </si>
  <si>
    <t>Emergent Transfer</t>
  </si>
  <si>
    <t>Canyon West</t>
  </si>
  <si>
    <t>Healed</t>
  </si>
  <si>
    <t>In-House Acquisition</t>
  </si>
  <si>
    <t>Hospital</t>
  </si>
  <si>
    <t>Planned Discharge</t>
  </si>
  <si>
    <t>July 2025</t>
  </si>
  <si>
    <t>Cascadia of Boise</t>
  </si>
  <si>
    <t>New Admit</t>
  </si>
  <si>
    <t>Mortuary</t>
  </si>
  <si>
    <t>August 2025</t>
  </si>
  <si>
    <t>Cascadia of Lewiston</t>
  </si>
  <si>
    <t>New</t>
  </si>
  <si>
    <t>Non-Pressure</t>
  </si>
  <si>
    <t>IP Precaution Type</t>
  </si>
  <si>
    <t>September 2025</t>
  </si>
  <si>
    <t>Cascadia of Nampa</t>
  </si>
  <si>
    <t>No Current Wound</t>
  </si>
  <si>
    <t>Retirement</t>
  </si>
  <si>
    <t xml:space="preserve">October 2025 </t>
  </si>
  <si>
    <t>Cherry Ridge</t>
  </si>
  <si>
    <t>Abuse Event Type</t>
  </si>
  <si>
    <t>SNF</t>
  </si>
  <si>
    <t>November 2025</t>
  </si>
  <si>
    <t>Clarkston</t>
  </si>
  <si>
    <t>Prevention</t>
  </si>
  <si>
    <t>December 2025</t>
  </si>
  <si>
    <t>Clearwater</t>
  </si>
  <si>
    <t>Exploitation</t>
  </si>
  <si>
    <t>IP Resident Selection</t>
  </si>
  <si>
    <t>Standard</t>
  </si>
  <si>
    <t>Coeur d'Alene</t>
  </si>
  <si>
    <t>Abuse Resident Selection</t>
  </si>
  <si>
    <t>Mental</t>
  </si>
  <si>
    <t>TBP</t>
  </si>
  <si>
    <t>Colfax</t>
  </si>
  <si>
    <t>Misappropriation</t>
  </si>
  <si>
    <t>Colville</t>
  </si>
  <si>
    <t>Grievances</t>
  </si>
  <si>
    <t>Colonized</t>
  </si>
  <si>
    <t>Creekside</t>
  </si>
  <si>
    <t>Physical</t>
  </si>
  <si>
    <t>Curry Village (ALF)</t>
  </si>
  <si>
    <t>Progress Note</t>
  </si>
  <si>
    <t>Res-to-Res</t>
  </si>
  <si>
    <t>New Admission</t>
  </si>
  <si>
    <t>Curry Village (SNF)</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</si>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</sst>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
      <sz val="12"/>
      <color rgb="FF333333"/>
      <name val="Aptos"/>
      <charset val="1"/>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7">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30" fillId="5" borderId="2" xfId="0" applyFont="1" applyFill="1" applyBorder="1" applyAlignment="1" applyProtection="1">
      <alignment horizontal="center" vertical="center" wrapText="1"/>
      <protection locked="0"/>
    </xf>
    <xf numFmtId="10" fontId="15" fillId="3" borderId="2" xfId="0" applyNumberFormat="1" applyFont="1" applyFill="1" applyBorder="1" applyAlignment="1" applyProtection="1">
      <alignment horizontal="center" vertical="center"/>
      <protection locked="0"/>
    </xf>
    <xf numFmtId="9" fontId="15" fillId="3" borderId="2" xfId="0" applyNumberFormat="1" applyFont="1" applyFill="1" applyBorder="1" applyProtection="1">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1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0" fontId="4" fillId="0" borderId="0" xfId="0" applyFont="1"/>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0" fontId="1" fillId="0" borderId="0" xfId="0" applyFont="1"/>
    <xf numFmtId="0" fontId="1" fillId="0" borderId="4" xfId="0" applyFont="1" applyBorder="1"/>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workbookViewId="0">
      <selection activeCell="E25" sqref="E25:F25"/>
    </sheetView>
  </sheetViews>
  <sheetFormatPr defaultRowHeight="14.4" x14ac:dyDescent="0.3"/>
  <cols>
    <col min="2" max="2" width="23.33203125" customWidth="1"/>
    <col min="3" max="3" width="22.6640625" customWidth="1"/>
    <col min="4" max="4" width="22" customWidth="1"/>
    <col min="5" max="5" width="23.33203125" customWidth="1"/>
  </cols>
  <sheetData>
    <row r="1" spans="1:7" ht="33" x14ac:dyDescent="0.6">
      <c r="A1" s="106" t="s">
        <v>0</v>
      </c>
      <c r="B1" s="106"/>
      <c r="C1" s="106"/>
      <c r="D1" s="106"/>
      <c r="E1" s="106"/>
      <c r="F1" s="106"/>
      <c r="G1" s="106"/>
    </row>
    <row r="2" spans="1:7" x14ac:dyDescent="0.3">
      <c r="A2" s="26"/>
      <c r="B2" s="27" t="s">
        <v>1</v>
      </c>
      <c r="C2" s="107" t="s">
        <v>2</v>
      </c>
      <c r="D2" s="108"/>
      <c r="E2" s="28"/>
      <c r="F2" s="109"/>
      <c r="G2" s="109"/>
    </row>
    <row r="3" spans="1:7" x14ac:dyDescent="0.3">
      <c r="A3" s="26"/>
      <c r="B3" s="29" t="s">
        <v>3</v>
      </c>
      <c r="C3" s="107" t="s">
        <v>4</v>
      </c>
      <c r="D3" s="108"/>
      <c r="E3" s="30"/>
      <c r="F3" s="109"/>
      <c r="G3" s="109"/>
    </row>
    <row r="4" spans="1:7" x14ac:dyDescent="0.3">
      <c r="A4" s="31"/>
      <c r="B4" s="29" t="s">
        <v>5</v>
      </c>
      <c r="C4" s="107"/>
      <c r="D4" s="108"/>
      <c r="E4" s="30"/>
      <c r="F4" s="109"/>
      <c r="G4" s="109"/>
    </row>
    <row r="5" spans="1:7" x14ac:dyDescent="0.3">
      <c r="A5" s="31"/>
      <c r="B5" s="29" t="s">
        <v>6</v>
      </c>
      <c r="C5" s="107" t="s">
        <v>7</v>
      </c>
      <c r="D5" s="108"/>
      <c r="E5" s="30"/>
      <c r="F5" s="109"/>
      <c r="G5" s="109"/>
    </row>
    <row r="6" spans="1:7" x14ac:dyDescent="0.3">
      <c r="A6" s="32"/>
      <c r="B6" s="33"/>
      <c r="C6" s="34"/>
      <c r="D6" s="35"/>
      <c r="E6" s="34"/>
      <c r="F6" s="109"/>
      <c r="G6" s="109"/>
    </row>
    <row r="7" spans="1:7" x14ac:dyDescent="0.3">
      <c r="A7" s="36"/>
      <c r="B7" s="37" t="s">
        <v>8</v>
      </c>
      <c r="C7" s="38" t="s">
        <v>9</v>
      </c>
      <c r="D7" s="39" t="s">
        <v>10</v>
      </c>
      <c r="E7" s="40" t="s">
        <v>11</v>
      </c>
      <c r="F7" s="109"/>
      <c r="G7" s="109"/>
    </row>
    <row r="8" spans="1:7" x14ac:dyDescent="0.3">
      <c r="A8" s="41"/>
      <c r="B8" s="42" t="s">
        <v>12</v>
      </c>
      <c r="C8" s="43">
        <f>'Abuse &amp; Grievances'!E19</f>
        <v>50</v>
      </c>
      <c r="D8" s="44">
        <f>'Abuse &amp; Grievances'!I19</f>
        <v>10</v>
      </c>
      <c r="E8" s="45">
        <f>D8/C8</f>
        <v>0.2</v>
      </c>
      <c r="F8" s="109"/>
      <c r="G8" s="109"/>
    </row>
    <row r="9" spans="1:7" x14ac:dyDescent="0.3">
      <c r="A9" s="41"/>
      <c r="B9" s="46" t="s">
        <v>13</v>
      </c>
      <c r="C9" s="47">
        <f>'Accidents &amp; Incidents'!E21</f>
        <v>60</v>
      </c>
      <c r="D9" s="48">
        <f>'Accidents &amp; Incidents'!I21</f>
        <v>37</v>
      </c>
      <c r="E9" s="49">
        <f t="shared" ref="E9:E12" si="0">D9/C9</f>
        <v>0.6166666666666667</v>
      </c>
      <c r="F9" s="109"/>
      <c r="G9" s="109"/>
    </row>
    <row r="10" spans="1:7" ht="28.8" x14ac:dyDescent="0.3">
      <c r="A10" s="41"/>
      <c r="B10" s="42" t="s">
        <v>14</v>
      </c>
      <c r="C10" s="79">
        <f>'Infection Prevention &amp; Control'!E34</f>
        <v>130</v>
      </c>
      <c r="D10" s="44">
        <f>'Infection Prevention &amp; Control'!I34</f>
        <v>120</v>
      </c>
      <c r="E10" s="45">
        <f t="shared" si="0"/>
        <v>0.92307692307692313</v>
      </c>
      <c r="F10" s="109"/>
      <c r="G10" s="109"/>
    </row>
    <row r="11" spans="1:7" x14ac:dyDescent="0.3">
      <c r="A11" s="41"/>
      <c r="B11" s="50" t="s">
        <v>15</v>
      </c>
      <c r="C11" s="51">
        <f>'Skin Integrity &amp; Wounds'!E35</f>
        <v>170</v>
      </c>
      <c r="D11" s="52">
        <f>'Skin Integrity &amp; Wounds'!I35</f>
        <v>124</v>
      </c>
      <c r="E11" s="49">
        <f t="shared" si="0"/>
        <v>0.72941176470588232</v>
      </c>
      <c r="F11" s="109"/>
      <c r="G11" s="109"/>
    </row>
    <row r="12" spans="1:7" ht="28.8" x14ac:dyDescent="0.3">
      <c r="A12" s="36"/>
      <c r="B12" s="53" t="s">
        <v>16</v>
      </c>
      <c r="C12" s="54">
        <f>SUM(C8:C11)</f>
        <v>410</v>
      </c>
      <c r="D12" s="77">
        <f>SUM(D8:D11)</f>
        <v>291</v>
      </c>
      <c r="E12" s="78">
        <f t="shared" si="0"/>
        <v>0.70975609756097557</v>
      </c>
      <c r="F12" s="109"/>
      <c r="G12" s="109"/>
    </row>
    <row r="13" spans="1:7" x14ac:dyDescent="0.3">
      <c r="A13" s="36"/>
      <c r="B13" s="55" t="s">
        <v>17</v>
      </c>
      <c r="C13" s="56">
        <f>E12</f>
        <v>0.70975609756097557</v>
      </c>
      <c r="D13" s="30"/>
      <c r="E13" s="30"/>
      <c r="F13" s="109"/>
      <c r="G13" s="109"/>
    </row>
    <row r="14" spans="1:7" x14ac:dyDescent="0.3">
      <c r="A14" s="36"/>
      <c r="B14" s="57"/>
      <c r="C14" s="58"/>
      <c r="D14" s="30"/>
      <c r="E14" s="30"/>
      <c r="F14" s="109"/>
      <c r="G14" s="109"/>
    </row>
    <row r="15" spans="1:7" x14ac:dyDescent="0.3">
      <c r="A15" s="36"/>
      <c r="B15" s="57"/>
      <c r="C15" s="58"/>
      <c r="D15" s="30"/>
      <c r="E15" s="30"/>
      <c r="F15" s="109"/>
      <c r="G15" s="109"/>
    </row>
    <row r="16" spans="1:7" ht="57" customHeight="1" x14ac:dyDescent="0.3">
      <c r="A16" s="110" t="s">
        <v>18</v>
      </c>
      <c r="B16" s="110"/>
      <c r="C16" s="110"/>
      <c r="D16" s="110"/>
      <c r="E16" s="110"/>
      <c r="F16" s="110"/>
      <c r="G16" s="110"/>
    </row>
    <row r="17" spans="1:7" ht="18" x14ac:dyDescent="0.35">
      <c r="A17" s="111" t="s">
        <v>19</v>
      </c>
      <c r="B17" s="111"/>
      <c r="C17" s="111"/>
      <c r="D17" s="111"/>
      <c r="E17" s="111"/>
      <c r="F17" s="111"/>
      <c r="G17" s="111"/>
    </row>
    <row r="18" spans="1:7" x14ac:dyDescent="0.3">
      <c r="A18" s="112" t="s">
        <v>20</v>
      </c>
      <c r="B18" s="112"/>
      <c r="C18" s="112"/>
      <c r="D18" s="112"/>
      <c r="E18" s="112"/>
      <c r="F18" s="112"/>
      <c r="G18" s="112"/>
    </row>
    <row r="19" spans="1:7" ht="27.6" x14ac:dyDescent="0.3">
      <c r="A19" s="59"/>
      <c r="B19" s="60" t="s">
        <v>12</v>
      </c>
      <c r="C19" s="60" t="s">
        <v>13</v>
      </c>
      <c r="D19" s="60" t="s">
        <v>14</v>
      </c>
      <c r="E19" s="113" t="s">
        <v>15</v>
      </c>
      <c r="F19" s="114"/>
      <c r="G19" s="60" t="s">
        <v>17</v>
      </c>
    </row>
    <row r="20" spans="1:7" x14ac:dyDescent="0.3">
      <c r="A20" s="61">
        <v>45682</v>
      </c>
      <c r="B20" s="80"/>
      <c r="C20" s="81"/>
      <c r="D20" s="81"/>
      <c r="E20" s="115"/>
      <c r="F20" s="116"/>
      <c r="G20" s="82"/>
    </row>
    <row r="21" spans="1:7" x14ac:dyDescent="0.3">
      <c r="A21" s="62">
        <v>45713</v>
      </c>
      <c r="B21" s="83"/>
      <c r="C21" s="84"/>
      <c r="D21" s="84"/>
      <c r="E21" s="104"/>
      <c r="F21" s="105"/>
      <c r="G21" s="85"/>
    </row>
    <row r="22" spans="1:7" x14ac:dyDescent="0.3">
      <c r="A22" s="61">
        <v>45741</v>
      </c>
      <c r="B22" s="80"/>
      <c r="C22" s="81"/>
      <c r="D22" s="81"/>
      <c r="E22" s="115"/>
      <c r="F22" s="116"/>
      <c r="G22" s="82"/>
    </row>
    <row r="23" spans="1:7" x14ac:dyDescent="0.3">
      <c r="A23" s="62">
        <v>45772</v>
      </c>
      <c r="B23" s="84"/>
      <c r="C23" s="84"/>
      <c r="D23" s="84"/>
      <c r="E23" s="104"/>
      <c r="F23" s="105"/>
      <c r="G23" s="85"/>
    </row>
    <row r="24" spans="1:7" x14ac:dyDescent="0.3">
      <c r="A24" s="61">
        <v>45802</v>
      </c>
      <c r="B24" s="81"/>
      <c r="C24" s="81"/>
      <c r="D24" s="81"/>
      <c r="E24" s="115"/>
      <c r="F24" s="116"/>
      <c r="G24" s="82"/>
    </row>
    <row r="25" spans="1:7" x14ac:dyDescent="0.3">
      <c r="A25" s="62">
        <v>45833</v>
      </c>
      <c r="B25" s="102">
        <v>0.2</v>
      </c>
      <c r="C25" s="102">
        <v>0.61670000000000003</v>
      </c>
      <c r="D25" s="102" t="s">
        <v>21</v>
      </c>
      <c r="E25" s="104">
        <v>72.94</v>
      </c>
      <c r="F25" s="105"/>
      <c r="G25" s="103">
        <v>0.71</v>
      </c>
    </row>
    <row r="26" spans="1:7" x14ac:dyDescent="0.3">
      <c r="A26" s="61">
        <v>45863</v>
      </c>
      <c r="B26" s="81"/>
      <c r="C26" s="81"/>
      <c r="D26" s="81"/>
      <c r="E26" s="115"/>
      <c r="F26" s="116"/>
      <c r="G26" s="82"/>
    </row>
    <row r="27" spans="1:7" x14ac:dyDescent="0.3">
      <c r="A27" s="62">
        <v>45894</v>
      </c>
      <c r="B27" s="84"/>
      <c r="C27" s="84"/>
      <c r="D27" s="84"/>
      <c r="E27" s="104"/>
      <c r="F27" s="105"/>
      <c r="G27" s="85"/>
    </row>
    <row r="28" spans="1:7" x14ac:dyDescent="0.3">
      <c r="A28" s="61">
        <v>45925</v>
      </c>
      <c r="B28" s="81"/>
      <c r="C28" s="81"/>
      <c r="D28" s="81"/>
      <c r="E28" s="115"/>
      <c r="F28" s="116"/>
      <c r="G28" s="82"/>
    </row>
    <row r="29" spans="1:7" x14ac:dyDescent="0.3">
      <c r="A29" s="62">
        <v>45955</v>
      </c>
      <c r="B29" s="84"/>
      <c r="C29" s="84"/>
      <c r="D29" s="84"/>
      <c r="E29" s="104"/>
      <c r="F29" s="105"/>
      <c r="G29" s="85"/>
    </row>
    <row r="30" spans="1:7" x14ac:dyDescent="0.3">
      <c r="A30" s="61">
        <v>45986</v>
      </c>
      <c r="B30" s="81"/>
      <c r="C30" s="81"/>
      <c r="D30" s="81"/>
      <c r="E30" s="115"/>
      <c r="F30" s="116"/>
      <c r="G30" s="82"/>
    </row>
    <row r="31" spans="1:7" x14ac:dyDescent="0.3">
      <c r="A31" s="62">
        <v>46016</v>
      </c>
      <c r="B31" s="84"/>
      <c r="C31" s="84"/>
      <c r="D31" s="84"/>
      <c r="E31" s="104"/>
      <c r="F31" s="105"/>
      <c r="G31" s="85"/>
    </row>
  </sheetData>
  <sheetProtection algorithmName="SHA-512" hashValue="hZBAR4NvURqN8tZsIUxYA/rTg9hRS0D9o0ooMFDrwy4N27eHZKwVAhOrFHQoqBHThohSiTnF7aeDbiZ3zl9w4A==" saltValue="0MYaZUznlQD2k9w5z2gJ/w==" spinCount="100000" sheet="1" objects="1" scenarios="1"/>
  <mergeCells count="22">
    <mergeCell ref="E28:F28"/>
    <mergeCell ref="E29:F29"/>
    <mergeCell ref="E30:F30"/>
    <mergeCell ref="E31:F31"/>
    <mergeCell ref="E22:F22"/>
    <mergeCell ref="E23:F23"/>
    <mergeCell ref="E24:F24"/>
    <mergeCell ref="E25:F25"/>
    <mergeCell ref="E26:F26"/>
    <mergeCell ref="E27:F27"/>
    <mergeCell ref="E21:F21"/>
    <mergeCell ref="A1:G1"/>
    <mergeCell ref="C2:D2"/>
    <mergeCell ref="F2:G15"/>
    <mergeCell ref="C3:D3"/>
    <mergeCell ref="C4:D4"/>
    <mergeCell ref="C5:D5"/>
    <mergeCell ref="A16:G16"/>
    <mergeCell ref="A17:G17"/>
    <mergeCell ref="A18:G18"/>
    <mergeCell ref="E19:F19"/>
    <mergeCell ref="E20:F20"/>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tabSelected="1" topLeftCell="A4" zoomScale="130" zoomScaleNormal="130" workbookViewId="0">
      <selection activeCell="H17" sqref="H17"/>
    </sheetView>
  </sheetViews>
  <sheetFormatPr defaultRowHeight="14.4" x14ac:dyDescent="0.3"/>
  <cols>
    <col min="4" max="4" width="13.109375" customWidth="1"/>
    <col min="5" max="5" width="9.6640625" customWidth="1"/>
    <col min="6" max="8" width="29.6640625" customWidth="1"/>
  </cols>
  <sheetData>
    <row r="1" spans="1:14" x14ac:dyDescent="0.3">
      <c r="A1" s="2" t="s">
        <v>22</v>
      </c>
      <c r="B1" s="117">
        <v>45838</v>
      </c>
      <c r="C1" s="118"/>
      <c r="D1" s="118"/>
      <c r="E1" s="118"/>
      <c r="F1" s="2"/>
      <c r="G1" s="4" t="s">
        <v>23</v>
      </c>
      <c r="H1" s="95" t="s">
        <v>7</v>
      </c>
      <c r="I1" s="5"/>
      <c r="J1" s="2"/>
      <c r="K1" s="2"/>
      <c r="L1" s="2"/>
      <c r="M1" s="2"/>
      <c r="N1" s="2"/>
    </row>
    <row r="2" spans="1:14" x14ac:dyDescent="0.3">
      <c r="A2" s="119"/>
      <c r="B2" s="119"/>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20" t="s">
        <v>24</v>
      </c>
      <c r="B4" s="121"/>
      <c r="C4" s="121"/>
      <c r="D4" s="122"/>
      <c r="E4" s="8" t="s">
        <v>25</v>
      </c>
      <c r="F4" s="86" t="s">
        <v>26</v>
      </c>
      <c r="G4" s="87" t="s">
        <v>27</v>
      </c>
      <c r="H4" s="88" t="s">
        <v>28</v>
      </c>
      <c r="I4" s="5"/>
      <c r="J4" s="10"/>
      <c r="K4" s="2"/>
      <c r="L4" s="2"/>
      <c r="M4" s="2"/>
      <c r="N4" s="2"/>
    </row>
    <row r="5" spans="1:14" ht="27.6" x14ac:dyDescent="0.3">
      <c r="A5" s="123"/>
      <c r="B5" s="124"/>
      <c r="C5" s="124"/>
      <c r="D5" s="125"/>
      <c r="E5" s="9" t="s">
        <v>29</v>
      </c>
      <c r="F5" s="94" t="s">
        <v>30</v>
      </c>
      <c r="G5" s="94" t="s">
        <v>30</v>
      </c>
      <c r="H5" s="94" t="s">
        <v>30</v>
      </c>
      <c r="I5" s="5"/>
      <c r="J5" s="10"/>
      <c r="K5" s="2"/>
      <c r="L5" s="2"/>
      <c r="M5" s="2"/>
      <c r="N5" s="2"/>
    </row>
    <row r="6" spans="1:14" ht="27.6" x14ac:dyDescent="0.3">
      <c r="A6" s="123"/>
      <c r="B6" s="124"/>
      <c r="C6" s="124"/>
      <c r="D6" s="125"/>
      <c r="E6" s="14" t="s">
        <v>31</v>
      </c>
      <c r="F6" s="94" t="s">
        <v>32</v>
      </c>
      <c r="G6" s="94" t="s">
        <v>32</v>
      </c>
      <c r="H6" s="94" t="s">
        <v>32</v>
      </c>
      <c r="I6" s="13"/>
      <c r="J6" s="12"/>
      <c r="K6" s="12"/>
      <c r="L6" s="12"/>
      <c r="M6" s="12"/>
      <c r="N6" s="12"/>
    </row>
    <row r="7" spans="1:14" ht="27.6" x14ac:dyDescent="0.3">
      <c r="A7" s="126"/>
      <c r="B7" s="127"/>
      <c r="C7" s="127"/>
      <c r="D7" s="128"/>
      <c r="E7" s="14" t="s">
        <v>33</v>
      </c>
      <c r="F7" s="89" t="s">
        <v>34</v>
      </c>
      <c r="G7" s="89" t="s">
        <v>35</v>
      </c>
      <c r="H7" s="89" t="s">
        <v>36</v>
      </c>
      <c r="I7" s="13"/>
      <c r="J7" s="12"/>
      <c r="K7" s="12"/>
      <c r="L7" s="12"/>
      <c r="M7" s="12"/>
      <c r="N7" s="12"/>
    </row>
    <row r="8" spans="1:14" ht="78.599999999999994" customHeight="1" x14ac:dyDescent="0.3">
      <c r="A8" s="129" t="s">
        <v>37</v>
      </c>
      <c r="B8" s="130"/>
      <c r="C8" s="130"/>
      <c r="D8" s="131"/>
      <c r="E8" s="16" t="s">
        <v>38</v>
      </c>
      <c r="F8" s="129" t="s">
        <v>39</v>
      </c>
      <c r="G8" s="130"/>
      <c r="H8" s="131"/>
      <c r="I8" s="16" t="s">
        <v>40</v>
      </c>
      <c r="J8" s="17"/>
      <c r="K8" s="17"/>
      <c r="L8" s="18"/>
      <c r="M8" s="18"/>
      <c r="N8" s="18"/>
    </row>
    <row r="9" spans="1:14" ht="78.599999999999994" customHeight="1" x14ac:dyDescent="0.3">
      <c r="A9" s="137" t="s">
        <v>41</v>
      </c>
      <c r="B9" s="138"/>
      <c r="C9" s="138"/>
      <c r="D9" s="139"/>
      <c r="E9" s="15">
        <v>10</v>
      </c>
      <c r="F9" s="76">
        <v>0</v>
      </c>
      <c r="G9" s="76">
        <v>0</v>
      </c>
      <c r="H9" s="76">
        <v>0</v>
      </c>
      <c r="I9" s="132">
        <f>IF(F9="N/A",4,F9)+IF(G9="N/A",3,G9)+IF(H9="N/A",3,H9)</f>
        <v>0</v>
      </c>
      <c r="J9" s="10"/>
      <c r="K9" s="6"/>
      <c r="L9" s="6"/>
      <c r="M9" s="6"/>
      <c r="N9" s="6"/>
    </row>
    <row r="10" spans="1:14" ht="220.8" x14ac:dyDescent="0.3">
      <c r="A10" s="134" t="s">
        <v>42</v>
      </c>
      <c r="B10" s="135"/>
      <c r="C10" s="135"/>
      <c r="D10" s="135"/>
      <c r="E10" s="136"/>
      <c r="F10" s="90" t="s">
        <v>43</v>
      </c>
      <c r="G10" s="90"/>
      <c r="H10" s="90"/>
      <c r="I10" s="133"/>
      <c r="J10" s="10"/>
      <c r="K10" s="6"/>
      <c r="L10" s="6"/>
      <c r="M10" s="6"/>
      <c r="N10" s="6"/>
    </row>
    <row r="11" spans="1:14" ht="62.4" customHeight="1" x14ac:dyDescent="0.3">
      <c r="A11" s="137" t="s">
        <v>44</v>
      </c>
      <c r="B11" s="138"/>
      <c r="C11" s="138"/>
      <c r="D11" s="139"/>
      <c r="E11" s="19">
        <v>10</v>
      </c>
      <c r="F11" s="76">
        <v>0</v>
      </c>
      <c r="G11" s="11" t="s">
        <v>45</v>
      </c>
      <c r="H11" s="11" t="s">
        <v>45</v>
      </c>
      <c r="I11" s="132">
        <f>IF(F11="N/A",10,F11)</f>
        <v>0</v>
      </c>
      <c r="J11" s="1"/>
      <c r="K11" s="6"/>
      <c r="L11" s="6"/>
      <c r="M11" s="6"/>
      <c r="N11" s="6"/>
    </row>
    <row r="12" spans="1:14" ht="409.6" x14ac:dyDescent="0.3">
      <c r="A12" s="134" t="s">
        <v>46</v>
      </c>
      <c r="B12" s="135"/>
      <c r="C12" s="135"/>
      <c r="D12" s="135"/>
      <c r="E12" s="136"/>
      <c r="F12" s="90" t="s">
        <v>47</v>
      </c>
      <c r="G12" s="90" t="s">
        <v>48</v>
      </c>
      <c r="H12" s="90"/>
      <c r="I12" s="133"/>
      <c r="J12" s="1"/>
      <c r="K12" s="6"/>
      <c r="L12" s="6"/>
      <c r="M12" s="6"/>
      <c r="N12" s="6"/>
    </row>
    <row r="13" spans="1:14" ht="168" customHeight="1" x14ac:dyDescent="0.3">
      <c r="A13" s="137" t="s">
        <v>49</v>
      </c>
      <c r="B13" s="138"/>
      <c r="C13" s="138"/>
      <c r="D13" s="139"/>
      <c r="E13" s="19">
        <v>10</v>
      </c>
      <c r="F13" s="76">
        <v>0</v>
      </c>
      <c r="G13" s="76">
        <v>0</v>
      </c>
      <c r="H13" s="76">
        <v>0</v>
      </c>
      <c r="I13" s="132">
        <f>IF(F13="N/A",4,F13)+IF(G13="N/A",3,G13)+IF(H13="N/A",3,H13)</f>
        <v>0</v>
      </c>
      <c r="J13" s="1"/>
      <c r="K13" s="1"/>
      <c r="L13" s="2"/>
      <c r="M13" s="2"/>
      <c r="N13" s="2"/>
    </row>
    <row r="14" spans="1:14" ht="138" x14ac:dyDescent="0.3">
      <c r="A14" s="134" t="s">
        <v>50</v>
      </c>
      <c r="B14" s="135"/>
      <c r="C14" s="135"/>
      <c r="D14" s="135"/>
      <c r="E14" s="136"/>
      <c r="F14" s="90" t="s">
        <v>51</v>
      </c>
      <c r="G14" s="90" t="s">
        <v>52</v>
      </c>
      <c r="H14" s="90" t="s">
        <v>53</v>
      </c>
      <c r="I14" s="133"/>
      <c r="J14" s="1"/>
      <c r="K14" s="1"/>
      <c r="L14" s="2"/>
      <c r="M14" s="2"/>
      <c r="N14" s="2"/>
    </row>
    <row r="15" spans="1:14" ht="95.4" customHeight="1" x14ac:dyDescent="0.3">
      <c r="A15" s="137" t="s">
        <v>54</v>
      </c>
      <c r="B15" s="138"/>
      <c r="C15" s="138"/>
      <c r="D15" s="139"/>
      <c r="E15" s="19">
        <v>10</v>
      </c>
      <c r="F15" s="76">
        <v>4</v>
      </c>
      <c r="G15" s="76">
        <v>3</v>
      </c>
      <c r="H15" s="76">
        <v>3</v>
      </c>
      <c r="I15" s="132">
        <f>IF(F15="N/A",4,F15)+IF(G15="N/A",3,G15)+IF(H15="N/A",3,H15)</f>
        <v>10</v>
      </c>
      <c r="J15" s="1"/>
      <c r="K15" s="1"/>
      <c r="L15" s="2"/>
      <c r="M15" s="2"/>
      <c r="N15" s="2"/>
    </row>
    <row r="16" spans="1:14" x14ac:dyDescent="0.3">
      <c r="A16" s="134" t="s">
        <v>55</v>
      </c>
      <c r="B16" s="135"/>
      <c r="C16" s="135"/>
      <c r="D16" s="135"/>
      <c r="E16" s="136"/>
      <c r="F16" s="90"/>
      <c r="G16" s="90"/>
      <c r="H16" s="90"/>
      <c r="I16" s="133"/>
      <c r="J16" s="1"/>
      <c r="K16" s="1"/>
      <c r="L16" s="2"/>
      <c r="M16" s="2"/>
      <c r="N16" s="2"/>
    </row>
    <row r="17" spans="1:14" ht="33" customHeight="1" x14ac:dyDescent="0.3">
      <c r="A17" s="137" t="s">
        <v>56</v>
      </c>
      <c r="B17" s="138"/>
      <c r="C17" s="138"/>
      <c r="D17" s="139"/>
      <c r="E17" s="21">
        <v>10</v>
      </c>
      <c r="F17" s="76">
        <v>0</v>
      </c>
      <c r="G17" s="76">
        <v>0</v>
      </c>
      <c r="H17" s="76">
        <v>0</v>
      </c>
      <c r="I17" s="132">
        <f>IF(F17="N/A",4,F17)+IF(G17="N/A",3,G17)+IF(H17="N/A",3,H17)</f>
        <v>0</v>
      </c>
      <c r="J17" s="1"/>
      <c r="K17" s="1"/>
      <c r="L17" s="2"/>
      <c r="M17" s="2"/>
      <c r="N17" s="2"/>
    </row>
    <row r="18" spans="1:14" x14ac:dyDescent="0.3">
      <c r="A18" s="134" t="s">
        <v>57</v>
      </c>
      <c r="B18" s="135"/>
      <c r="C18" s="135"/>
      <c r="D18" s="135"/>
      <c r="E18" s="136"/>
      <c r="F18" s="148" t="s">
        <v>58</v>
      </c>
      <c r="G18" s="149"/>
      <c r="H18" s="150"/>
      <c r="I18" s="133"/>
      <c r="J18" s="1"/>
      <c r="K18" s="1"/>
      <c r="L18" s="2"/>
      <c r="M18" s="2"/>
      <c r="N18" s="2"/>
    </row>
    <row r="19" spans="1:14" ht="15.6" x14ac:dyDescent="0.3">
      <c r="A19" s="145" t="s">
        <v>59</v>
      </c>
      <c r="B19" s="146"/>
      <c r="C19" s="146"/>
      <c r="D19" s="147"/>
      <c r="E19" s="22">
        <f>E9+E11+E13+E15+E17</f>
        <v>50</v>
      </c>
      <c r="F19" s="2"/>
      <c r="G19" s="2"/>
      <c r="H19" s="23" t="s">
        <v>60</v>
      </c>
      <c r="I19" s="22">
        <f>SUM(I9:I18)</f>
        <v>10</v>
      </c>
      <c r="J19" s="1"/>
      <c r="K19" s="1"/>
      <c r="L19" s="2"/>
      <c r="M19" s="2"/>
      <c r="N19" s="2"/>
    </row>
    <row r="20" spans="1:14" x14ac:dyDescent="0.3">
      <c r="A20" s="4"/>
      <c r="B20" s="4"/>
      <c r="C20" s="4"/>
      <c r="D20" s="4"/>
      <c r="E20" s="5"/>
      <c r="F20" s="2"/>
      <c r="G20" s="2"/>
      <c r="H20" s="2"/>
      <c r="I20" s="5"/>
      <c r="J20" s="1"/>
      <c r="K20" s="1"/>
      <c r="L20" s="2"/>
      <c r="M20" s="2"/>
      <c r="N20" s="2"/>
    </row>
    <row r="21" spans="1:14" x14ac:dyDescent="0.3">
      <c r="A21" s="151" t="s">
        <v>61</v>
      </c>
      <c r="B21" s="151"/>
      <c r="C21" s="151"/>
      <c r="D21" s="151"/>
      <c r="E21" s="151"/>
      <c r="F21" s="151"/>
      <c r="G21" s="151"/>
      <c r="H21" s="151"/>
      <c r="I21" s="151"/>
      <c r="J21" s="1"/>
      <c r="K21" s="1"/>
      <c r="L21" s="2"/>
      <c r="M21" s="2"/>
      <c r="N21" s="2"/>
    </row>
    <row r="22" spans="1:14" ht="28.2" x14ac:dyDescent="0.35">
      <c r="A22" s="7"/>
      <c r="B22" s="7"/>
      <c r="C22" s="7"/>
      <c r="D22" s="24" t="s">
        <v>62</v>
      </c>
      <c r="E22" s="152"/>
      <c r="F22" s="153"/>
      <c r="G22" s="91"/>
      <c r="H22" s="91"/>
      <c r="I22" s="154" t="s">
        <v>63</v>
      </c>
      <c r="J22" s="10"/>
      <c r="K22" s="1"/>
      <c r="L22" s="2"/>
      <c r="M22" s="2"/>
      <c r="N22" s="2"/>
    </row>
    <row r="23" spans="1:14" ht="18" x14ac:dyDescent="0.35">
      <c r="A23" s="7"/>
      <c r="B23" s="7"/>
      <c r="C23" s="7"/>
      <c r="D23" s="25" t="s">
        <v>64</v>
      </c>
      <c r="E23" s="157"/>
      <c r="F23" s="158"/>
      <c r="G23" s="92"/>
      <c r="H23" s="92"/>
      <c r="I23" s="155"/>
      <c r="J23" s="10"/>
      <c r="K23" s="1"/>
      <c r="L23" s="2"/>
      <c r="M23" s="2"/>
      <c r="N23" s="2"/>
    </row>
    <row r="24" spans="1:14" ht="15.6" x14ac:dyDescent="0.3">
      <c r="A24" s="159" t="s">
        <v>65</v>
      </c>
      <c r="B24" s="160"/>
      <c r="C24" s="160"/>
      <c r="D24" s="161"/>
      <c r="E24" s="162" t="s">
        <v>66</v>
      </c>
      <c r="F24" s="163"/>
      <c r="G24" s="163"/>
      <c r="H24" s="164"/>
      <c r="I24" s="156"/>
      <c r="J24" s="1"/>
      <c r="K24" s="1"/>
      <c r="L24" s="2"/>
      <c r="M24" s="2"/>
      <c r="N24" s="2"/>
    </row>
    <row r="25" spans="1:14" ht="25.95" customHeight="1" x14ac:dyDescent="0.3">
      <c r="A25" s="140" t="s">
        <v>67</v>
      </c>
      <c r="B25" s="141"/>
      <c r="C25" s="141"/>
      <c r="D25" s="142"/>
      <c r="E25" s="143"/>
      <c r="F25" s="144"/>
      <c r="G25" s="93"/>
      <c r="H25" s="92"/>
      <c r="I25" s="94"/>
      <c r="J25" s="10"/>
      <c r="K25" s="2"/>
      <c r="L25" s="2"/>
      <c r="M25" s="2"/>
      <c r="N25" s="2"/>
    </row>
    <row r="26" spans="1:14" ht="30.6" customHeight="1" x14ac:dyDescent="0.3">
      <c r="A26" s="140" t="s">
        <v>68</v>
      </c>
      <c r="B26" s="141"/>
      <c r="C26" s="141"/>
      <c r="D26" s="142"/>
      <c r="E26" s="143"/>
      <c r="F26" s="144"/>
      <c r="G26" s="93"/>
      <c r="H26" s="92"/>
      <c r="I26" s="94"/>
      <c r="J26" s="10"/>
      <c r="K26" s="2"/>
      <c r="L26" s="2"/>
      <c r="M26" s="2"/>
      <c r="N26" s="2"/>
    </row>
    <row r="27" spans="1:14" ht="21" customHeight="1" x14ac:dyDescent="0.3">
      <c r="A27" s="140" t="s">
        <v>69</v>
      </c>
      <c r="B27" s="141"/>
      <c r="C27" s="141"/>
      <c r="D27" s="142"/>
      <c r="E27" s="143"/>
      <c r="F27" s="144"/>
      <c r="G27" s="93"/>
      <c r="H27" s="92"/>
      <c r="I27" s="94"/>
      <c r="J27" s="2"/>
      <c r="K27" s="2"/>
      <c r="L27" s="2"/>
      <c r="M27" s="2"/>
      <c r="N27" s="2"/>
    </row>
    <row r="28" spans="1:14" ht="75" customHeight="1" x14ac:dyDescent="0.3">
      <c r="A28" s="140" t="s">
        <v>70</v>
      </c>
      <c r="B28" s="141"/>
      <c r="C28" s="141"/>
      <c r="D28" s="142"/>
      <c r="E28" s="143"/>
      <c r="F28" s="144"/>
      <c r="G28" s="93"/>
      <c r="H28" s="93"/>
      <c r="I28" s="94"/>
      <c r="J28" s="2"/>
      <c r="K28" s="2"/>
      <c r="L28" s="2"/>
      <c r="M28" s="2"/>
      <c r="N28" s="2"/>
    </row>
    <row r="29" spans="1:14" ht="30.6" customHeight="1" x14ac:dyDescent="0.3">
      <c r="A29" s="140" t="s">
        <v>71</v>
      </c>
      <c r="B29" s="141"/>
      <c r="C29" s="141"/>
      <c r="D29" s="142"/>
      <c r="E29" s="143"/>
      <c r="F29" s="144"/>
      <c r="G29" s="93"/>
      <c r="H29" s="93"/>
      <c r="I29" s="94"/>
      <c r="J29" s="2"/>
      <c r="K29" s="2"/>
      <c r="L29" s="2"/>
      <c r="M29" s="2"/>
      <c r="N29" s="2"/>
    </row>
    <row r="30" spans="1:14" x14ac:dyDescent="0.3">
      <c r="A30" s="166"/>
      <c r="B30" s="166"/>
      <c r="C30" s="1"/>
      <c r="D30" s="1"/>
      <c r="E30" s="3"/>
      <c r="F30" s="1"/>
      <c r="G30" s="1"/>
      <c r="H30" s="1"/>
      <c r="I30" s="3"/>
      <c r="J30" s="2"/>
      <c r="K30" s="2"/>
      <c r="L30" s="2"/>
      <c r="M30" s="2"/>
      <c r="N30" s="2"/>
    </row>
    <row r="31" spans="1:14" x14ac:dyDescent="0.3">
      <c r="A31" s="165"/>
      <c r="B31" s="165"/>
      <c r="C31" s="1"/>
      <c r="D31" s="1"/>
      <c r="E31" s="3"/>
      <c r="F31" s="1"/>
      <c r="G31" s="1"/>
      <c r="H31" s="1"/>
      <c r="I31" s="3"/>
      <c r="J31" s="2"/>
      <c r="K31" s="2"/>
      <c r="L31" s="2"/>
      <c r="M31" s="2"/>
      <c r="N31" s="2"/>
    </row>
    <row r="32" spans="1:14" x14ac:dyDescent="0.3">
      <c r="A32" s="165"/>
      <c r="B32" s="165"/>
      <c r="C32" s="1"/>
      <c r="D32" s="1"/>
      <c r="E32" s="3"/>
      <c r="F32" s="1"/>
      <c r="G32" s="1"/>
      <c r="H32" s="1"/>
      <c r="I32" s="3"/>
      <c r="J32" s="2"/>
      <c r="K32" s="2"/>
      <c r="L32" s="2"/>
      <c r="M32" s="2"/>
      <c r="N32" s="2"/>
    </row>
    <row r="33" spans="1:14" x14ac:dyDescent="0.3">
      <c r="A33" s="165"/>
      <c r="B33" s="165"/>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A33:B33"/>
    <mergeCell ref="A26:D26"/>
    <mergeCell ref="E26:F26"/>
    <mergeCell ref="A27:D27"/>
    <mergeCell ref="E27:F27"/>
    <mergeCell ref="A28:D28"/>
    <mergeCell ref="E28:F28"/>
    <mergeCell ref="A29:D29"/>
    <mergeCell ref="E29:F29"/>
    <mergeCell ref="A30:B30"/>
    <mergeCell ref="A31:B31"/>
    <mergeCell ref="A32:B32"/>
    <mergeCell ref="A25:D25"/>
    <mergeCell ref="E25:F25"/>
    <mergeCell ref="A19:D19"/>
    <mergeCell ref="A17:D17"/>
    <mergeCell ref="I17:I18"/>
    <mergeCell ref="A18:E18"/>
    <mergeCell ref="F18:H18"/>
    <mergeCell ref="A21:I21"/>
    <mergeCell ref="E22:F22"/>
    <mergeCell ref="I22:I24"/>
    <mergeCell ref="E23:F23"/>
    <mergeCell ref="A24:D24"/>
    <mergeCell ref="E24:H24"/>
    <mergeCell ref="A13:D13"/>
    <mergeCell ref="I13:I14"/>
    <mergeCell ref="A14:E14"/>
    <mergeCell ref="A15:D15"/>
    <mergeCell ref="I15:I16"/>
    <mergeCell ref="A16:E16"/>
    <mergeCell ref="I9:I10"/>
    <mergeCell ref="A10:E10"/>
    <mergeCell ref="A11:D11"/>
    <mergeCell ref="I11:I12"/>
    <mergeCell ref="A12:E12"/>
    <mergeCell ref="A9:D9"/>
    <mergeCell ref="B1:E1"/>
    <mergeCell ref="A2:B2"/>
    <mergeCell ref="A4:D7"/>
    <mergeCell ref="A8:D8"/>
    <mergeCell ref="F8:H8"/>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workbookViewId="0">
      <selection activeCell="H37" sqref="H37"/>
    </sheetView>
  </sheetViews>
  <sheetFormatPr defaultRowHeight="14.4" x14ac:dyDescent="0.3"/>
  <cols>
    <col min="4" max="4" width="12" customWidth="1"/>
    <col min="5" max="5" width="10.6640625" customWidth="1"/>
    <col min="6" max="8" width="29.6640625" customWidth="1"/>
  </cols>
  <sheetData>
    <row r="1" spans="1:14" x14ac:dyDescent="0.3">
      <c r="A1" s="2" t="s">
        <v>22</v>
      </c>
      <c r="B1" s="117">
        <v>45838</v>
      </c>
      <c r="C1" s="118"/>
      <c r="D1" s="118"/>
      <c r="E1" s="118"/>
      <c r="F1" s="2"/>
      <c r="G1" s="4" t="s">
        <v>23</v>
      </c>
      <c r="H1" s="95" t="s">
        <v>7</v>
      </c>
      <c r="I1" s="5"/>
      <c r="J1" s="2"/>
      <c r="K1" s="2"/>
      <c r="L1" s="2"/>
      <c r="M1" s="2"/>
      <c r="N1" s="2"/>
    </row>
    <row r="2" spans="1:14" x14ac:dyDescent="0.3">
      <c r="A2" s="119"/>
      <c r="B2" s="119"/>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20" t="s">
        <v>72</v>
      </c>
      <c r="B4" s="121"/>
      <c r="C4" s="121"/>
      <c r="D4" s="122"/>
      <c r="E4" s="8" t="s">
        <v>25</v>
      </c>
      <c r="F4" s="86" t="s">
        <v>73</v>
      </c>
      <c r="G4" s="87" t="s">
        <v>74</v>
      </c>
      <c r="H4" s="88" t="s">
        <v>75</v>
      </c>
      <c r="I4" s="5"/>
      <c r="J4" s="10"/>
      <c r="K4" s="2"/>
      <c r="L4" s="2"/>
      <c r="M4" s="2"/>
      <c r="N4" s="2"/>
    </row>
    <row r="5" spans="1:14" ht="27.6" x14ac:dyDescent="0.3">
      <c r="A5" s="123"/>
      <c r="B5" s="124"/>
      <c r="C5" s="124"/>
      <c r="D5" s="125"/>
      <c r="E5" s="9" t="s">
        <v>29</v>
      </c>
      <c r="F5" s="94" t="s">
        <v>76</v>
      </c>
      <c r="G5" s="94" t="s">
        <v>77</v>
      </c>
      <c r="H5" s="94" t="s">
        <v>76</v>
      </c>
      <c r="I5" s="5"/>
      <c r="J5" s="10"/>
      <c r="K5" s="2"/>
      <c r="L5" s="2"/>
      <c r="M5" s="2"/>
      <c r="N5" s="2"/>
    </row>
    <row r="6" spans="1:14" x14ac:dyDescent="0.3">
      <c r="A6" s="123"/>
      <c r="B6" s="124"/>
      <c r="C6" s="124"/>
      <c r="D6" s="125"/>
      <c r="E6" s="14" t="s">
        <v>78</v>
      </c>
      <c r="F6" s="94" t="s">
        <v>76</v>
      </c>
      <c r="G6" s="94" t="s">
        <v>79</v>
      </c>
      <c r="H6" s="94" t="s">
        <v>76</v>
      </c>
      <c r="I6" s="13"/>
      <c r="J6" s="12"/>
      <c r="K6" s="12"/>
      <c r="L6" s="12"/>
      <c r="M6" s="12"/>
      <c r="N6" s="12"/>
    </row>
    <row r="7" spans="1:14" ht="27.6" x14ac:dyDescent="0.3">
      <c r="A7" s="126"/>
      <c r="B7" s="127"/>
      <c r="C7" s="127"/>
      <c r="D7" s="128"/>
      <c r="E7" s="14" t="s">
        <v>33</v>
      </c>
      <c r="F7" s="89" t="s">
        <v>80</v>
      </c>
      <c r="G7" s="89" t="s">
        <v>81</v>
      </c>
      <c r="H7" s="89" t="s">
        <v>82</v>
      </c>
      <c r="I7" s="13"/>
      <c r="J7" s="12"/>
      <c r="K7" s="12"/>
      <c r="L7" s="12"/>
      <c r="M7" s="12"/>
      <c r="N7" s="12"/>
    </row>
    <row r="8" spans="1:14" ht="78.599999999999994" customHeight="1" x14ac:dyDescent="0.3">
      <c r="A8" s="129" t="s">
        <v>37</v>
      </c>
      <c r="B8" s="130"/>
      <c r="C8" s="130"/>
      <c r="D8" s="131"/>
      <c r="E8" s="16" t="s">
        <v>38</v>
      </c>
      <c r="F8" s="129" t="s">
        <v>39</v>
      </c>
      <c r="G8" s="130"/>
      <c r="H8" s="131"/>
      <c r="I8" s="16" t="s">
        <v>40</v>
      </c>
      <c r="J8" s="17"/>
      <c r="K8" s="17"/>
      <c r="L8" s="18"/>
      <c r="M8" s="18"/>
      <c r="N8" s="18"/>
    </row>
    <row r="9" spans="1:14" ht="70.5" customHeight="1" x14ac:dyDescent="0.3">
      <c r="A9" s="137" t="s">
        <v>83</v>
      </c>
      <c r="B9" s="138"/>
      <c r="C9" s="138"/>
      <c r="D9" s="139"/>
      <c r="E9" s="15">
        <v>10</v>
      </c>
      <c r="F9" s="76">
        <v>4</v>
      </c>
      <c r="G9" s="76">
        <v>3</v>
      </c>
      <c r="H9" s="76">
        <v>3</v>
      </c>
      <c r="I9" s="132">
        <f>IF(F9="N/A",4,F9)+IF(G9="N/A",3,G9)+IF(H9="N/A",3,H9)</f>
        <v>10</v>
      </c>
      <c r="J9" s="10"/>
      <c r="K9" s="6"/>
      <c r="L9" s="6"/>
      <c r="M9" s="6"/>
      <c r="N9" s="6"/>
    </row>
    <row r="10" spans="1:14" ht="18" x14ac:dyDescent="0.3">
      <c r="A10" s="134" t="s">
        <v>42</v>
      </c>
      <c r="B10" s="135"/>
      <c r="C10" s="135"/>
      <c r="D10" s="135"/>
      <c r="E10" s="136"/>
      <c r="F10" s="90"/>
      <c r="G10" s="90"/>
      <c r="H10" s="90"/>
      <c r="I10" s="133"/>
      <c r="J10" s="10"/>
      <c r="K10" s="6"/>
      <c r="L10" s="6"/>
      <c r="M10" s="6"/>
      <c r="N10" s="6"/>
    </row>
    <row r="11" spans="1:14" ht="79.2" customHeight="1" x14ac:dyDescent="0.3">
      <c r="A11" s="137" t="s">
        <v>84</v>
      </c>
      <c r="B11" s="138"/>
      <c r="C11" s="138"/>
      <c r="D11" s="139"/>
      <c r="E11" s="19">
        <v>10</v>
      </c>
      <c r="F11" s="76">
        <v>4</v>
      </c>
      <c r="G11" s="76">
        <v>3</v>
      </c>
      <c r="H11" s="76">
        <v>0</v>
      </c>
      <c r="I11" s="132">
        <f>IF(F11="N/A",4,F11)+IF(G11="N/A",3,G11)+IF(H11="N/A",3,H11)</f>
        <v>7</v>
      </c>
      <c r="J11" s="1"/>
      <c r="K11" s="6"/>
      <c r="L11" s="6"/>
      <c r="M11" s="6"/>
      <c r="N11" s="6"/>
    </row>
    <row r="12" spans="1:14" ht="193.2" x14ac:dyDescent="0.3">
      <c r="A12" s="134" t="s">
        <v>46</v>
      </c>
      <c r="B12" s="135"/>
      <c r="C12" s="135"/>
      <c r="D12" s="135"/>
      <c r="E12" s="136"/>
      <c r="F12" s="90"/>
      <c r="G12" s="90"/>
      <c r="H12" s="90" t="s">
        <v>85</v>
      </c>
      <c r="I12" s="133"/>
      <c r="J12" s="1"/>
      <c r="K12" s="6"/>
      <c r="L12" s="6"/>
      <c r="M12" s="6"/>
      <c r="N12" s="6"/>
    </row>
    <row r="13" spans="1:14" ht="114.75" customHeight="1" x14ac:dyDescent="0.3">
      <c r="A13" s="167" t="s">
        <v>86</v>
      </c>
      <c r="B13" s="168"/>
      <c r="C13" s="168"/>
      <c r="D13" s="169"/>
      <c r="E13" s="19">
        <v>10</v>
      </c>
      <c r="F13" s="76">
        <v>0</v>
      </c>
      <c r="G13" s="76">
        <v>0</v>
      </c>
      <c r="H13" s="76">
        <v>0</v>
      </c>
      <c r="I13" s="132">
        <f>IF(F13="N/A",4,F13)+IF(G13="N/A",3,G13)+IF(H13="N/A",3,H13)</f>
        <v>0</v>
      </c>
      <c r="J13" s="1"/>
      <c r="K13" s="6"/>
      <c r="L13" s="6"/>
      <c r="M13" s="6"/>
      <c r="N13" s="6"/>
    </row>
    <row r="14" spans="1:14" ht="409.6" x14ac:dyDescent="0.3">
      <c r="A14" s="134" t="s">
        <v>50</v>
      </c>
      <c r="B14" s="135"/>
      <c r="C14" s="135"/>
      <c r="D14" s="135"/>
      <c r="E14" s="136"/>
      <c r="F14" s="90" t="s">
        <v>87</v>
      </c>
      <c r="G14" s="90" t="s">
        <v>88</v>
      </c>
      <c r="H14" s="90" t="s">
        <v>89</v>
      </c>
      <c r="I14" s="133"/>
      <c r="J14" s="1"/>
      <c r="K14" s="6"/>
      <c r="L14" s="6"/>
      <c r="M14" s="6"/>
      <c r="N14" s="6"/>
    </row>
    <row r="15" spans="1:14" ht="93.75" customHeight="1" x14ac:dyDescent="0.3">
      <c r="A15" s="137" t="s">
        <v>90</v>
      </c>
      <c r="B15" s="138"/>
      <c r="C15" s="138"/>
      <c r="D15" s="139"/>
      <c r="E15" s="15">
        <v>10</v>
      </c>
      <c r="F15" s="76">
        <v>0</v>
      </c>
      <c r="G15" s="76">
        <v>0</v>
      </c>
      <c r="H15" s="76">
        <v>0</v>
      </c>
      <c r="I15" s="132">
        <f>IF(F15="N/A",4,F15)+IF(G15="N/A",3,G15)+IF(H15="N/A",3,H15)</f>
        <v>0</v>
      </c>
      <c r="J15" s="1"/>
      <c r="K15" s="1"/>
      <c r="L15" s="2"/>
      <c r="M15" s="2"/>
      <c r="N15" s="2"/>
    </row>
    <row r="16" spans="1:14" ht="138" x14ac:dyDescent="0.3">
      <c r="A16" s="134" t="s">
        <v>55</v>
      </c>
      <c r="B16" s="135"/>
      <c r="C16" s="135"/>
      <c r="D16" s="135"/>
      <c r="E16" s="136"/>
      <c r="F16" s="90" t="s">
        <v>91</v>
      </c>
      <c r="G16" s="90" t="s">
        <v>92</v>
      </c>
      <c r="H16" s="90" t="s">
        <v>93</v>
      </c>
      <c r="I16" s="133"/>
      <c r="J16" s="1"/>
      <c r="K16" s="1"/>
      <c r="L16" s="2"/>
      <c r="M16" s="2"/>
      <c r="N16" s="2"/>
    </row>
    <row r="17" spans="1:14" ht="78.599999999999994" customHeight="1" x14ac:dyDescent="0.3">
      <c r="A17" s="138" t="s">
        <v>94</v>
      </c>
      <c r="B17" s="138"/>
      <c r="C17" s="138"/>
      <c r="D17" s="139"/>
      <c r="E17" s="11">
        <v>10</v>
      </c>
      <c r="F17" s="76" t="s">
        <v>45</v>
      </c>
      <c r="G17" s="76" t="s">
        <v>45</v>
      </c>
      <c r="H17" s="76" t="s">
        <v>45</v>
      </c>
      <c r="I17" s="132">
        <f>IF(F17="N/A",4,F17)+IF(G17="N/A",3,G17)+IF(H17="N/A",3,H17)</f>
        <v>10</v>
      </c>
      <c r="J17" s="1"/>
      <c r="K17" s="1"/>
      <c r="L17" s="2"/>
      <c r="M17" s="2"/>
      <c r="N17" s="2"/>
    </row>
    <row r="18" spans="1:14" x14ac:dyDescent="0.3">
      <c r="A18" s="134" t="s">
        <v>57</v>
      </c>
      <c r="B18" s="135"/>
      <c r="C18" s="135"/>
      <c r="D18" s="135"/>
      <c r="E18" s="136"/>
      <c r="F18" s="96"/>
      <c r="G18" s="98"/>
      <c r="H18" s="97"/>
      <c r="I18" s="133"/>
      <c r="J18" s="1"/>
      <c r="K18" s="1"/>
      <c r="L18" s="2"/>
      <c r="M18" s="2"/>
      <c r="N18" s="2"/>
    </row>
    <row r="19" spans="1:14" ht="85.5" customHeight="1" x14ac:dyDescent="0.3">
      <c r="A19" s="137" t="s">
        <v>95</v>
      </c>
      <c r="B19" s="138"/>
      <c r="C19" s="138"/>
      <c r="D19" s="139"/>
      <c r="E19" s="21">
        <v>10</v>
      </c>
      <c r="F19" s="76" t="s">
        <v>45</v>
      </c>
      <c r="G19" s="76" t="s">
        <v>45</v>
      </c>
      <c r="H19" s="76" t="s">
        <v>45</v>
      </c>
      <c r="I19" s="132">
        <f>IF(F19="N/A",4,F19)+IF(G19="N/A",3,G19)+IF(H19="N/A",3,H19)</f>
        <v>10</v>
      </c>
      <c r="J19" s="1"/>
      <c r="K19" s="1"/>
      <c r="L19" s="2"/>
      <c r="M19" s="2"/>
      <c r="N19" s="2"/>
    </row>
    <row r="20" spans="1:14" x14ac:dyDescent="0.3">
      <c r="A20" s="134" t="s">
        <v>96</v>
      </c>
      <c r="B20" s="135"/>
      <c r="C20" s="135"/>
      <c r="D20" s="135"/>
      <c r="E20" s="136"/>
      <c r="F20" s="96"/>
      <c r="G20" s="98"/>
      <c r="H20" s="97"/>
      <c r="I20" s="133"/>
      <c r="J20" s="1"/>
      <c r="K20" s="1"/>
      <c r="L20" s="2"/>
      <c r="M20" s="2"/>
      <c r="N20" s="2"/>
    </row>
    <row r="21" spans="1:14" ht="15.6" x14ac:dyDescent="0.3">
      <c r="A21" s="145" t="s">
        <v>97</v>
      </c>
      <c r="B21" s="146"/>
      <c r="C21" s="146"/>
      <c r="D21" s="147"/>
      <c r="E21" s="22">
        <f>E9+E11+E13+E15+E17+E19</f>
        <v>60</v>
      </c>
      <c r="F21" s="2"/>
      <c r="G21" s="2"/>
      <c r="H21" s="23" t="s">
        <v>60</v>
      </c>
      <c r="I21" s="22">
        <f>SUM(I9:I20)</f>
        <v>37</v>
      </c>
      <c r="J21" s="1"/>
      <c r="K21" s="1"/>
      <c r="L21" s="2"/>
      <c r="M21" s="2"/>
      <c r="N21" s="2"/>
    </row>
    <row r="22" spans="1:14" x14ac:dyDescent="0.3">
      <c r="A22" s="151" t="s">
        <v>61</v>
      </c>
      <c r="B22" s="151"/>
      <c r="C22" s="151"/>
      <c r="D22" s="151"/>
      <c r="E22" s="151"/>
      <c r="F22" s="151"/>
      <c r="G22" s="151"/>
      <c r="H22" s="151"/>
      <c r="I22" s="151"/>
      <c r="J22" s="1"/>
      <c r="K22" s="1"/>
      <c r="L22" s="2"/>
      <c r="M22" s="2"/>
      <c r="N22" s="2"/>
    </row>
    <row r="23" spans="1:14" ht="28.2" x14ac:dyDescent="0.35">
      <c r="A23" s="7"/>
      <c r="B23" s="7"/>
      <c r="C23" s="7"/>
      <c r="D23" s="24" t="s">
        <v>62</v>
      </c>
      <c r="E23" s="152"/>
      <c r="F23" s="153"/>
      <c r="G23" s="91"/>
      <c r="H23" s="91"/>
      <c r="I23" s="154" t="s">
        <v>63</v>
      </c>
      <c r="J23" s="10"/>
      <c r="K23" s="1"/>
      <c r="L23" s="2"/>
      <c r="M23" s="2"/>
      <c r="N23" s="2"/>
    </row>
    <row r="24" spans="1:14" ht="18" x14ac:dyDescent="0.35">
      <c r="A24" s="7"/>
      <c r="B24" s="7"/>
      <c r="C24" s="7"/>
      <c r="D24" s="24" t="s">
        <v>64</v>
      </c>
      <c r="E24" s="157"/>
      <c r="F24" s="158"/>
      <c r="G24" s="92"/>
      <c r="H24" s="92"/>
      <c r="I24" s="155"/>
      <c r="J24" s="10"/>
      <c r="K24" s="1"/>
      <c r="L24" s="2"/>
      <c r="M24" s="2"/>
      <c r="N24" s="2"/>
    </row>
    <row r="25" spans="1:14" ht="15.6" x14ac:dyDescent="0.3">
      <c r="A25" s="159" t="s">
        <v>65</v>
      </c>
      <c r="B25" s="160"/>
      <c r="C25" s="160"/>
      <c r="D25" s="161"/>
      <c r="E25" s="162" t="s">
        <v>66</v>
      </c>
      <c r="F25" s="163"/>
      <c r="G25" s="163"/>
      <c r="H25" s="164"/>
      <c r="I25" s="156"/>
      <c r="J25" s="1"/>
      <c r="K25" s="1"/>
      <c r="L25" s="2"/>
      <c r="M25" s="2"/>
      <c r="N25" s="2"/>
    </row>
    <row r="26" spans="1:14" ht="24.6" customHeight="1" x14ac:dyDescent="0.3">
      <c r="A26" s="140" t="s">
        <v>98</v>
      </c>
      <c r="B26" s="141"/>
      <c r="C26" s="141"/>
      <c r="D26" s="142"/>
      <c r="E26" s="143"/>
      <c r="F26" s="144"/>
      <c r="G26" s="93"/>
      <c r="H26" s="92"/>
      <c r="I26" s="94"/>
      <c r="J26" s="2"/>
      <c r="K26" s="2"/>
      <c r="L26" s="2"/>
      <c r="M26" s="2"/>
      <c r="N26" s="2"/>
    </row>
    <row r="27" spans="1:14" ht="24.6" customHeight="1" x14ac:dyDescent="0.3">
      <c r="A27" s="140" t="s">
        <v>99</v>
      </c>
      <c r="B27" s="141"/>
      <c r="C27" s="141"/>
      <c r="D27" s="142"/>
      <c r="E27" s="143"/>
      <c r="F27" s="144"/>
      <c r="G27" s="93"/>
      <c r="H27" s="92"/>
      <c r="I27" s="94"/>
      <c r="J27" s="2"/>
      <c r="K27" s="2"/>
      <c r="L27" s="2"/>
      <c r="M27" s="2"/>
      <c r="N27" s="2"/>
    </row>
    <row r="28" spans="1:14" ht="24.6" customHeight="1" x14ac:dyDescent="0.3">
      <c r="A28" s="140" t="s">
        <v>100</v>
      </c>
      <c r="B28" s="141"/>
      <c r="C28" s="141"/>
      <c r="D28" s="142"/>
      <c r="E28" s="143"/>
      <c r="F28" s="144"/>
      <c r="G28" s="93"/>
      <c r="H28" s="92"/>
      <c r="I28" s="94"/>
      <c r="J28" s="2"/>
      <c r="K28" s="2"/>
      <c r="L28" s="2"/>
      <c r="M28" s="2"/>
      <c r="N28" s="2"/>
    </row>
    <row r="29" spans="1:14" ht="35.4" customHeight="1" x14ac:dyDescent="0.3">
      <c r="A29" s="140" t="s">
        <v>101</v>
      </c>
      <c r="B29" s="141"/>
      <c r="C29" s="141"/>
      <c r="D29" s="142"/>
      <c r="E29" s="143"/>
      <c r="F29" s="144"/>
      <c r="G29" s="93"/>
      <c r="H29" s="93"/>
      <c r="I29" s="94"/>
      <c r="J29" s="2"/>
      <c r="K29" s="2"/>
      <c r="L29" s="2"/>
      <c r="M29" s="2"/>
      <c r="N29" s="2"/>
    </row>
    <row r="30" spans="1:14" x14ac:dyDescent="0.3">
      <c r="A30" s="140" t="s">
        <v>102</v>
      </c>
      <c r="B30" s="141"/>
      <c r="C30" s="141"/>
      <c r="D30" s="142"/>
      <c r="E30" s="143"/>
      <c r="F30" s="144"/>
      <c r="G30" s="93"/>
      <c r="H30" s="93"/>
      <c r="I30" s="94"/>
      <c r="J30" s="2"/>
      <c r="K30" s="2"/>
      <c r="L30" s="2"/>
      <c r="M30" s="2"/>
      <c r="N30" s="2"/>
    </row>
    <row r="31" spans="1:14" x14ac:dyDescent="0.3">
      <c r="A31" s="166"/>
      <c r="B31" s="166"/>
      <c r="C31" s="1"/>
      <c r="D31" s="1"/>
      <c r="E31" s="3"/>
      <c r="F31" s="1"/>
      <c r="G31" s="1"/>
      <c r="H31" s="1"/>
      <c r="I31" s="3"/>
      <c r="J31" s="2"/>
      <c r="K31" s="2"/>
      <c r="L31" s="2"/>
      <c r="M31" s="2"/>
      <c r="N31" s="2"/>
    </row>
    <row r="32" spans="1:14" x14ac:dyDescent="0.3">
      <c r="A32" s="165"/>
      <c r="B32" s="165"/>
      <c r="C32" s="1"/>
      <c r="D32" s="1"/>
      <c r="E32" s="3"/>
      <c r="F32" s="1"/>
      <c r="G32" s="1"/>
      <c r="H32" s="1"/>
      <c r="I32" s="3"/>
      <c r="J32" s="2"/>
      <c r="K32" s="2"/>
      <c r="L32" s="2"/>
      <c r="M32" s="2"/>
      <c r="N32" s="2"/>
    </row>
    <row r="33" spans="1:14" x14ac:dyDescent="0.3">
      <c r="A33" s="165"/>
      <c r="B33" s="165"/>
      <c r="C33" s="1"/>
      <c r="D33" s="1"/>
      <c r="E33" s="3"/>
      <c r="F33" s="1"/>
      <c r="G33" s="1"/>
      <c r="H33" s="1"/>
      <c r="I33" s="3"/>
      <c r="J33" s="2"/>
      <c r="K33" s="2"/>
      <c r="L33" s="2"/>
      <c r="M33" s="2"/>
      <c r="N33" s="2"/>
    </row>
    <row r="34" spans="1:14" x14ac:dyDescent="0.3">
      <c r="A34" s="165"/>
      <c r="B34" s="165"/>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28:D28"/>
    <mergeCell ref="E28:F28"/>
    <mergeCell ref="A33:B33"/>
    <mergeCell ref="A34:B34"/>
    <mergeCell ref="A29:D29"/>
    <mergeCell ref="E29:F29"/>
    <mergeCell ref="A30:D30"/>
    <mergeCell ref="E30:F30"/>
    <mergeCell ref="A31:B31"/>
    <mergeCell ref="A32:B32"/>
    <mergeCell ref="A22:I22"/>
    <mergeCell ref="A26:D26"/>
    <mergeCell ref="E26:F26"/>
    <mergeCell ref="A27:D27"/>
    <mergeCell ref="E27:F27"/>
    <mergeCell ref="E23:F23"/>
    <mergeCell ref="I23:I25"/>
    <mergeCell ref="E24:F24"/>
    <mergeCell ref="A25:D25"/>
    <mergeCell ref="E25:H25"/>
    <mergeCell ref="A21:D21"/>
    <mergeCell ref="A15:D15"/>
    <mergeCell ref="I15:I16"/>
    <mergeCell ref="A16:E16"/>
    <mergeCell ref="A17:D17"/>
    <mergeCell ref="I17:I18"/>
    <mergeCell ref="A18:E18"/>
    <mergeCell ref="A19:D19"/>
    <mergeCell ref="I19:I20"/>
    <mergeCell ref="A20:E20"/>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topLeftCell="A32" workbookViewId="0">
      <selection activeCell="B1" sqref="B1:E1"/>
    </sheetView>
  </sheetViews>
  <sheetFormatPr defaultRowHeight="14.4" x14ac:dyDescent="0.3"/>
  <cols>
    <col min="1" max="2" width="12.5546875" customWidth="1"/>
    <col min="3" max="3" width="12.33203125" customWidth="1"/>
    <col min="4" max="4" width="12.5546875" customWidth="1"/>
    <col min="5" max="5" width="29.5546875" customWidth="1"/>
    <col min="6" max="8" width="30.33203125" customWidth="1"/>
  </cols>
  <sheetData>
    <row r="1" spans="1:13" x14ac:dyDescent="0.3">
      <c r="A1" s="2" t="s">
        <v>22</v>
      </c>
      <c r="B1" s="117">
        <v>45841</v>
      </c>
      <c r="C1" s="118"/>
      <c r="D1" s="118"/>
      <c r="E1" s="118"/>
      <c r="F1" s="2"/>
      <c r="G1" s="4" t="s">
        <v>23</v>
      </c>
      <c r="H1" s="95" t="s">
        <v>7</v>
      </c>
      <c r="I1" s="5"/>
      <c r="J1" s="2"/>
      <c r="K1" s="2"/>
      <c r="L1" s="2"/>
      <c r="M1" s="2"/>
    </row>
    <row r="2" spans="1:13" x14ac:dyDescent="0.3">
      <c r="A2" s="119"/>
      <c r="B2" s="119"/>
      <c r="C2" s="2"/>
      <c r="D2" s="2"/>
      <c r="E2" s="5"/>
      <c r="F2" s="2"/>
      <c r="G2" s="2"/>
      <c r="H2" s="2"/>
      <c r="I2" s="5"/>
      <c r="J2" s="2"/>
      <c r="K2" s="2"/>
      <c r="L2" s="2"/>
      <c r="M2" s="2"/>
    </row>
    <row r="3" spans="1:13" ht="18" x14ac:dyDescent="0.35">
      <c r="A3" s="6"/>
      <c r="B3" s="6"/>
      <c r="C3" s="6"/>
      <c r="D3" s="6"/>
      <c r="E3" s="7"/>
      <c r="F3" s="7"/>
      <c r="G3" s="7"/>
      <c r="H3" s="7"/>
      <c r="I3" s="7"/>
      <c r="J3" s="7"/>
      <c r="K3" s="2"/>
      <c r="L3" s="2"/>
      <c r="M3" s="2"/>
    </row>
    <row r="4" spans="1:13" x14ac:dyDescent="0.3">
      <c r="A4" s="120" t="s">
        <v>103</v>
      </c>
      <c r="B4" s="121"/>
      <c r="C4" s="121"/>
      <c r="D4" s="122"/>
      <c r="E4" s="8" t="s">
        <v>25</v>
      </c>
      <c r="F4" s="86" t="s">
        <v>104</v>
      </c>
      <c r="G4" s="87" t="s">
        <v>105</v>
      </c>
      <c r="H4" s="88" t="s">
        <v>106</v>
      </c>
      <c r="I4" s="5"/>
      <c r="J4" s="10"/>
      <c r="K4" s="2"/>
      <c r="L4" s="2"/>
      <c r="M4" s="2"/>
    </row>
    <row r="5" spans="1:13" x14ac:dyDescent="0.3">
      <c r="A5" s="123"/>
      <c r="B5" s="124"/>
      <c r="C5" s="124"/>
      <c r="D5" s="125"/>
      <c r="E5" s="9" t="s">
        <v>29</v>
      </c>
      <c r="F5" s="94" t="s">
        <v>107</v>
      </c>
      <c r="G5" s="94" t="s">
        <v>107</v>
      </c>
      <c r="H5" s="94" t="s">
        <v>107</v>
      </c>
      <c r="I5" s="5"/>
      <c r="J5" s="10"/>
      <c r="K5" s="2"/>
      <c r="L5" s="2"/>
      <c r="M5" s="2"/>
    </row>
    <row r="6" spans="1:13" x14ac:dyDescent="0.3">
      <c r="A6" s="123"/>
      <c r="B6" s="124"/>
      <c r="C6" s="124"/>
      <c r="D6" s="125"/>
      <c r="E6" s="14" t="s">
        <v>108</v>
      </c>
      <c r="F6" s="94" t="s">
        <v>109</v>
      </c>
      <c r="G6" s="94" t="s">
        <v>45</v>
      </c>
      <c r="H6" s="94" t="s">
        <v>109</v>
      </c>
      <c r="I6" s="64"/>
      <c r="J6" s="12"/>
      <c r="K6" s="12"/>
      <c r="L6" s="12"/>
      <c r="M6" s="12"/>
    </row>
    <row r="7" spans="1:13" x14ac:dyDescent="0.3">
      <c r="A7" s="126"/>
      <c r="B7" s="127"/>
      <c r="C7" s="127"/>
      <c r="D7" s="128"/>
      <c r="E7" s="14" t="s">
        <v>110</v>
      </c>
      <c r="F7" s="89" t="s">
        <v>111</v>
      </c>
      <c r="G7" s="89" t="s">
        <v>112</v>
      </c>
      <c r="H7" s="89" t="s">
        <v>113</v>
      </c>
      <c r="I7" s="64"/>
      <c r="J7" s="12"/>
      <c r="K7" s="12"/>
      <c r="L7" s="12"/>
      <c r="M7" s="12"/>
    </row>
    <row r="8" spans="1:13" ht="78.599999999999994" customHeight="1" x14ac:dyDescent="0.3">
      <c r="A8" s="129" t="s">
        <v>114</v>
      </c>
      <c r="B8" s="130"/>
      <c r="C8" s="130"/>
      <c r="D8" s="131"/>
      <c r="E8" s="16" t="s">
        <v>38</v>
      </c>
      <c r="F8" s="129" t="s">
        <v>39</v>
      </c>
      <c r="G8" s="130"/>
      <c r="H8" s="131"/>
      <c r="I8" s="16" t="s">
        <v>40</v>
      </c>
      <c r="J8" s="17"/>
      <c r="K8" s="17"/>
      <c r="L8" s="18"/>
      <c r="M8" s="18"/>
    </row>
    <row r="9" spans="1:13" ht="66.75" customHeight="1" x14ac:dyDescent="0.3">
      <c r="A9" s="137" t="s">
        <v>115</v>
      </c>
      <c r="B9" s="138"/>
      <c r="C9" s="138"/>
      <c r="D9" s="139"/>
      <c r="E9" s="15">
        <v>10</v>
      </c>
      <c r="F9" s="76">
        <v>4</v>
      </c>
      <c r="G9" s="76">
        <v>3</v>
      </c>
      <c r="H9" s="76">
        <v>3</v>
      </c>
      <c r="I9" s="132">
        <f>IF(F9="N/A",4,F9)+IF(G9="N/A",3,G9)+IF(H9="N/A",3,H9)</f>
        <v>10</v>
      </c>
      <c r="J9" s="10"/>
      <c r="K9" s="6"/>
      <c r="L9" s="6"/>
      <c r="M9" s="6"/>
    </row>
    <row r="10" spans="1:13" ht="18" x14ac:dyDescent="0.3">
      <c r="A10" s="134" t="s">
        <v>42</v>
      </c>
      <c r="B10" s="135"/>
      <c r="C10" s="135"/>
      <c r="D10" s="135"/>
      <c r="E10" s="136"/>
      <c r="F10" s="90"/>
      <c r="G10" s="90"/>
      <c r="H10" s="90"/>
      <c r="I10" s="133"/>
      <c r="J10" s="1"/>
      <c r="K10" s="6"/>
      <c r="L10" s="6"/>
      <c r="M10" s="6"/>
    </row>
    <row r="11" spans="1:13" ht="48.75" customHeight="1" x14ac:dyDescent="0.3">
      <c r="A11" s="137" t="s">
        <v>116</v>
      </c>
      <c r="B11" s="138"/>
      <c r="C11" s="138"/>
      <c r="D11" s="139"/>
      <c r="E11" s="19">
        <v>10</v>
      </c>
      <c r="F11" s="76">
        <v>4</v>
      </c>
      <c r="G11" s="76">
        <v>3</v>
      </c>
      <c r="H11" s="76">
        <v>3</v>
      </c>
      <c r="I11" s="132">
        <f>IF(F11="N/A",4,F11)+IF(G11="N/A",3,G11)+IF(H11="N/A",3,H11)</f>
        <v>10</v>
      </c>
      <c r="J11" s="1"/>
      <c r="K11" s="6"/>
      <c r="L11" s="6"/>
      <c r="M11" s="6"/>
    </row>
    <row r="12" spans="1:13" ht="18" x14ac:dyDescent="0.3">
      <c r="A12" s="134" t="s">
        <v>46</v>
      </c>
      <c r="B12" s="135"/>
      <c r="C12" s="135"/>
      <c r="D12" s="135"/>
      <c r="E12" s="136"/>
      <c r="F12" s="90"/>
      <c r="G12" s="90"/>
      <c r="H12" s="90"/>
      <c r="I12" s="133"/>
      <c r="J12" s="1"/>
      <c r="K12" s="6"/>
      <c r="L12" s="6"/>
      <c r="M12" s="6"/>
    </row>
    <row r="13" spans="1:13" ht="87" customHeight="1" x14ac:dyDescent="0.3">
      <c r="A13" s="137" t="s">
        <v>117</v>
      </c>
      <c r="B13" s="138"/>
      <c r="C13" s="138"/>
      <c r="D13" s="139"/>
      <c r="E13" s="19">
        <v>10</v>
      </c>
      <c r="F13" s="76">
        <v>4</v>
      </c>
      <c r="G13" s="76">
        <v>3</v>
      </c>
      <c r="H13" s="76">
        <v>3</v>
      </c>
      <c r="I13" s="132">
        <f>IF(F13="N/A",4,F13)+IF(G13="N/A",3,G13)+IF(H13="N/A",3,H13)</f>
        <v>10</v>
      </c>
      <c r="J13" s="1"/>
      <c r="K13" s="6"/>
      <c r="L13" s="6"/>
      <c r="M13" s="6"/>
    </row>
    <row r="14" spans="1:13" ht="138" x14ac:dyDescent="0.3">
      <c r="A14" s="134" t="s">
        <v>50</v>
      </c>
      <c r="B14" s="135"/>
      <c r="C14" s="135"/>
      <c r="D14" s="135"/>
      <c r="E14" s="136"/>
      <c r="F14" s="90"/>
      <c r="G14" s="90" t="s">
        <v>118</v>
      </c>
      <c r="H14" s="90"/>
      <c r="I14" s="133"/>
      <c r="J14" s="1"/>
      <c r="K14" s="6"/>
      <c r="L14" s="6"/>
      <c r="M14" s="6"/>
    </row>
    <row r="15" spans="1:13" ht="48.75" customHeight="1" x14ac:dyDescent="0.3">
      <c r="A15" s="137" t="s">
        <v>119</v>
      </c>
      <c r="B15" s="138"/>
      <c r="C15" s="138"/>
      <c r="D15" s="139"/>
      <c r="E15" s="19">
        <v>10</v>
      </c>
      <c r="F15" s="76">
        <v>4</v>
      </c>
      <c r="G15" s="76">
        <v>3</v>
      </c>
      <c r="H15" s="76">
        <v>3</v>
      </c>
      <c r="I15" s="132">
        <f>IF(F15="N/A",4,F15)+IF(G15="N/A",3,G15)+IF(H15="N/A",3,H15)</f>
        <v>10</v>
      </c>
      <c r="J15" s="1"/>
      <c r="K15" s="1"/>
      <c r="L15" s="2"/>
      <c r="M15" s="2"/>
    </row>
    <row r="16" spans="1:13" x14ac:dyDescent="0.3">
      <c r="A16" s="134" t="s">
        <v>55</v>
      </c>
      <c r="B16" s="135"/>
      <c r="C16" s="135"/>
      <c r="D16" s="135"/>
      <c r="E16" s="136"/>
      <c r="F16" s="90"/>
      <c r="G16" s="90"/>
      <c r="H16" s="90"/>
      <c r="I16" s="133"/>
      <c r="J16" s="1"/>
      <c r="K16" s="1"/>
      <c r="L16" s="2"/>
      <c r="M16" s="2"/>
    </row>
    <row r="17" spans="1:13" ht="74.25" customHeight="1" x14ac:dyDescent="0.3">
      <c r="A17" s="137" t="s">
        <v>120</v>
      </c>
      <c r="B17" s="138"/>
      <c r="C17" s="138"/>
      <c r="D17" s="139"/>
      <c r="E17" s="19">
        <v>10</v>
      </c>
      <c r="F17" s="76" t="s">
        <v>45</v>
      </c>
      <c r="G17" s="76">
        <v>3</v>
      </c>
      <c r="H17" s="76" t="s">
        <v>45</v>
      </c>
      <c r="I17" s="132">
        <f>IF(F17="N/A",4,F17)+IF(G17="N/A",3,G17)+IF(H17="N/A",3,H17)</f>
        <v>10</v>
      </c>
      <c r="J17" s="1"/>
      <c r="K17" s="1"/>
      <c r="L17" s="2"/>
      <c r="M17" s="2"/>
    </row>
    <row r="18" spans="1:13" x14ac:dyDescent="0.3">
      <c r="A18" s="134" t="s">
        <v>57</v>
      </c>
      <c r="B18" s="135"/>
      <c r="C18" s="135"/>
      <c r="D18" s="135"/>
      <c r="E18" s="136"/>
      <c r="F18" s="90"/>
      <c r="G18" s="90"/>
      <c r="H18" s="90"/>
      <c r="I18" s="133"/>
      <c r="J18" s="1"/>
      <c r="K18" s="1"/>
      <c r="L18" s="2"/>
      <c r="M18" s="2"/>
    </row>
    <row r="19" spans="1:13" ht="41.4" x14ac:dyDescent="0.3">
      <c r="A19" s="130" t="s">
        <v>121</v>
      </c>
      <c r="B19" s="130"/>
      <c r="C19" s="130"/>
      <c r="D19" s="131"/>
      <c r="E19" s="16" t="s">
        <v>38</v>
      </c>
      <c r="F19" s="129" t="s">
        <v>122</v>
      </c>
      <c r="G19" s="130"/>
      <c r="H19" s="131"/>
      <c r="I19" s="16" t="s">
        <v>40</v>
      </c>
      <c r="J19" s="20"/>
      <c r="K19" s="1"/>
      <c r="L19" s="2"/>
      <c r="M19" s="2"/>
    </row>
    <row r="20" spans="1:13" ht="60" customHeight="1" x14ac:dyDescent="0.3">
      <c r="A20" s="137" t="s">
        <v>123</v>
      </c>
      <c r="B20" s="138"/>
      <c r="C20" s="138"/>
      <c r="D20" s="139"/>
      <c r="E20" s="19">
        <v>10</v>
      </c>
      <c r="F20" s="143" t="s">
        <v>45</v>
      </c>
      <c r="G20" s="170"/>
      <c r="H20" s="144"/>
      <c r="I20" s="132">
        <f>IF(F20="N/A",10,F20)</f>
        <v>10</v>
      </c>
      <c r="J20" s="1"/>
      <c r="K20" s="1"/>
      <c r="L20" s="2"/>
      <c r="M20" s="2"/>
    </row>
    <row r="21" spans="1:13" x14ac:dyDescent="0.3">
      <c r="A21" s="134" t="s">
        <v>96</v>
      </c>
      <c r="B21" s="135"/>
      <c r="C21" s="135"/>
      <c r="D21" s="135"/>
      <c r="E21" s="136"/>
      <c r="F21" s="148" t="s">
        <v>124</v>
      </c>
      <c r="G21" s="149"/>
      <c r="H21" s="150"/>
      <c r="I21" s="133"/>
      <c r="J21" s="1"/>
      <c r="K21" s="1"/>
      <c r="L21" s="2"/>
      <c r="M21" s="2"/>
    </row>
    <row r="22" spans="1:13" ht="74.25" customHeight="1" x14ac:dyDescent="0.3">
      <c r="A22" s="138" t="s">
        <v>125</v>
      </c>
      <c r="B22" s="138"/>
      <c r="C22" s="138"/>
      <c r="D22" s="139"/>
      <c r="E22" s="11">
        <v>10</v>
      </c>
      <c r="F22" s="143">
        <v>10</v>
      </c>
      <c r="G22" s="170"/>
      <c r="H22" s="144"/>
      <c r="I22" s="132">
        <f>IF(F22="N/A",10,F22)</f>
        <v>10</v>
      </c>
      <c r="J22" s="1"/>
      <c r="K22" s="1"/>
      <c r="L22" s="2"/>
      <c r="M22" s="2"/>
    </row>
    <row r="23" spans="1:13" x14ac:dyDescent="0.3">
      <c r="A23" s="134" t="s">
        <v>126</v>
      </c>
      <c r="B23" s="135"/>
      <c r="C23" s="135"/>
      <c r="D23" s="135"/>
      <c r="E23" s="136"/>
      <c r="F23" s="148"/>
      <c r="G23" s="149"/>
      <c r="H23" s="150"/>
      <c r="I23" s="133"/>
      <c r="J23" s="1"/>
      <c r="K23" s="1"/>
      <c r="L23" s="2"/>
      <c r="M23" s="2"/>
    </row>
    <row r="24" spans="1:13" ht="63.75" customHeight="1" x14ac:dyDescent="0.3">
      <c r="A24" s="137" t="s">
        <v>127</v>
      </c>
      <c r="B24" s="138"/>
      <c r="C24" s="138"/>
      <c r="D24" s="139"/>
      <c r="E24" s="21">
        <v>10</v>
      </c>
      <c r="F24" s="143" t="s">
        <v>45</v>
      </c>
      <c r="G24" s="170"/>
      <c r="H24" s="144"/>
      <c r="I24" s="132">
        <f>IF(F24="N/A",10,F24)</f>
        <v>10</v>
      </c>
      <c r="J24" s="1"/>
      <c r="K24" s="1"/>
      <c r="L24" s="2"/>
      <c r="M24" s="2"/>
    </row>
    <row r="25" spans="1:13" x14ac:dyDescent="0.3">
      <c r="A25" s="134" t="s">
        <v>128</v>
      </c>
      <c r="B25" s="135"/>
      <c r="C25" s="135"/>
      <c r="D25" s="135"/>
      <c r="E25" s="136"/>
      <c r="F25" s="148"/>
      <c r="G25" s="149"/>
      <c r="H25" s="150"/>
      <c r="I25" s="133"/>
      <c r="J25" s="1"/>
      <c r="K25" s="1"/>
      <c r="L25" s="2"/>
      <c r="M25" s="2"/>
    </row>
    <row r="26" spans="1:13" ht="72" customHeight="1" x14ac:dyDescent="0.3">
      <c r="A26" s="138" t="s">
        <v>129</v>
      </c>
      <c r="B26" s="138"/>
      <c r="C26" s="138"/>
      <c r="D26" s="139"/>
      <c r="E26" s="11">
        <v>10</v>
      </c>
      <c r="F26" s="143" t="s">
        <v>45</v>
      </c>
      <c r="G26" s="170"/>
      <c r="H26" s="144"/>
      <c r="I26" s="132">
        <f>IF(F26="N/A",10,F26)</f>
        <v>10</v>
      </c>
      <c r="J26" s="1"/>
      <c r="K26" s="1"/>
      <c r="L26" s="2"/>
      <c r="M26" s="2"/>
    </row>
    <row r="27" spans="1:13" x14ac:dyDescent="0.3">
      <c r="A27" s="134" t="s">
        <v>130</v>
      </c>
      <c r="B27" s="135"/>
      <c r="C27" s="135"/>
      <c r="D27" s="135"/>
      <c r="E27" s="136"/>
      <c r="F27" s="148"/>
      <c r="G27" s="149"/>
      <c r="H27" s="150"/>
      <c r="I27" s="133"/>
      <c r="J27" s="1"/>
      <c r="K27" s="1"/>
      <c r="L27" s="2"/>
      <c r="M27" s="2"/>
    </row>
    <row r="28" spans="1:13" ht="72.75" customHeight="1" x14ac:dyDescent="0.3">
      <c r="A28" s="138" t="s">
        <v>131</v>
      </c>
      <c r="B28" s="138"/>
      <c r="C28" s="138"/>
      <c r="D28" s="139"/>
      <c r="E28" s="11">
        <v>10</v>
      </c>
      <c r="F28" s="143">
        <v>10</v>
      </c>
      <c r="G28" s="170"/>
      <c r="H28" s="144"/>
      <c r="I28" s="132">
        <f>IF(F28="N/A",10,F28)</f>
        <v>10</v>
      </c>
      <c r="J28" s="1"/>
      <c r="K28" s="1"/>
      <c r="L28" s="2"/>
      <c r="M28" s="2"/>
    </row>
    <row r="29" spans="1:13" x14ac:dyDescent="0.3">
      <c r="A29" s="134" t="s">
        <v>132</v>
      </c>
      <c r="B29" s="135"/>
      <c r="C29" s="135"/>
      <c r="D29" s="135"/>
      <c r="E29" s="136"/>
      <c r="F29" s="148"/>
      <c r="G29" s="149"/>
      <c r="H29" s="150"/>
      <c r="I29" s="133"/>
      <c r="J29" s="1"/>
      <c r="K29" s="1"/>
      <c r="L29" s="2"/>
      <c r="M29" s="2"/>
    </row>
    <row r="30" spans="1:13" ht="60.75" customHeight="1" x14ac:dyDescent="0.3">
      <c r="A30" s="138" t="s">
        <v>133</v>
      </c>
      <c r="B30" s="138"/>
      <c r="C30" s="138"/>
      <c r="D30" s="139"/>
      <c r="E30" s="11">
        <v>10</v>
      </c>
      <c r="F30" s="143" t="s">
        <v>45</v>
      </c>
      <c r="G30" s="170"/>
      <c r="H30" s="144"/>
      <c r="I30" s="132">
        <f>IF(F30="N/A",10,F30)</f>
        <v>10</v>
      </c>
      <c r="J30" s="1"/>
      <c r="K30" s="1"/>
      <c r="L30" s="2"/>
      <c r="M30" s="2"/>
    </row>
    <row r="31" spans="1:13" x14ac:dyDescent="0.3">
      <c r="A31" s="134" t="s">
        <v>134</v>
      </c>
      <c r="B31" s="135"/>
      <c r="C31" s="135"/>
      <c r="D31" s="135"/>
      <c r="E31" s="136"/>
      <c r="F31" s="148"/>
      <c r="G31" s="149"/>
      <c r="H31" s="150"/>
      <c r="I31" s="133"/>
      <c r="J31" s="1"/>
      <c r="K31" s="1"/>
      <c r="L31" s="2"/>
      <c r="M31" s="2"/>
    </row>
    <row r="32" spans="1:13" ht="57" customHeight="1" x14ac:dyDescent="0.3">
      <c r="A32" s="138" t="s">
        <v>135</v>
      </c>
      <c r="B32" s="138"/>
      <c r="C32" s="138"/>
      <c r="D32" s="139"/>
      <c r="E32" s="11">
        <v>10</v>
      </c>
      <c r="F32" s="143" t="s">
        <v>45</v>
      </c>
      <c r="G32" s="170"/>
      <c r="H32" s="144"/>
      <c r="I32" s="132">
        <f>IF(F32="N/A",10,F32)</f>
        <v>10</v>
      </c>
      <c r="J32" s="1"/>
      <c r="K32" s="1"/>
      <c r="L32" s="2"/>
      <c r="M32" s="2"/>
    </row>
    <row r="33" spans="1:13" x14ac:dyDescent="0.3">
      <c r="A33" s="134" t="s">
        <v>136</v>
      </c>
      <c r="B33" s="135"/>
      <c r="C33" s="135"/>
      <c r="D33" s="135"/>
      <c r="E33" s="136"/>
      <c r="F33" s="148"/>
      <c r="G33" s="149"/>
      <c r="H33" s="150"/>
      <c r="I33" s="133"/>
      <c r="J33" s="1"/>
      <c r="K33" s="1"/>
      <c r="L33" s="2"/>
      <c r="M33" s="2"/>
    </row>
    <row r="34" spans="1:13" ht="15.6" x14ac:dyDescent="0.3">
      <c r="A34" s="171" t="s">
        <v>137</v>
      </c>
      <c r="B34" s="172"/>
      <c r="C34" s="172"/>
      <c r="D34" s="173"/>
      <c r="E34" s="22">
        <f>E9+E11+E13+E15+E17+E20+E22+E24+E26+E28+E30+E32+E36</f>
        <v>130</v>
      </c>
      <c r="F34" s="2"/>
      <c r="G34" s="2"/>
      <c r="H34" s="23" t="s">
        <v>60</v>
      </c>
      <c r="I34" s="22">
        <f>SUM(I9:I18)+SUM(I20:I33)+I36</f>
        <v>120</v>
      </c>
      <c r="J34" s="1"/>
      <c r="K34" s="1"/>
      <c r="L34" s="2"/>
      <c r="M34" s="2"/>
    </row>
    <row r="35" spans="1:13" x14ac:dyDescent="0.3">
      <c r="A35" s="151" t="s">
        <v>61</v>
      </c>
      <c r="B35" s="151"/>
      <c r="C35" s="151"/>
      <c r="D35" s="151"/>
      <c r="E35" s="151"/>
      <c r="F35" s="151"/>
      <c r="G35" s="151"/>
      <c r="H35" s="151"/>
      <c r="I35" s="151"/>
      <c r="J35" s="1"/>
      <c r="K35" s="1"/>
      <c r="L35" s="2"/>
      <c r="M35" s="2"/>
    </row>
    <row r="36" spans="1:13" ht="73.5" customHeight="1" x14ac:dyDescent="0.3">
      <c r="A36" s="138" t="s">
        <v>138</v>
      </c>
      <c r="B36" s="138"/>
      <c r="C36" s="138"/>
      <c r="D36" s="139"/>
      <c r="E36" s="11">
        <v>10</v>
      </c>
      <c r="F36" s="143"/>
      <c r="G36" s="170"/>
      <c r="H36" s="144"/>
      <c r="I36" s="132">
        <f>IF(F36="N/A",10,F36)</f>
        <v>0</v>
      </c>
      <c r="J36" s="1"/>
      <c r="K36" s="1"/>
      <c r="L36" s="2"/>
      <c r="M36" s="2"/>
    </row>
    <row r="37" spans="1:13" x14ac:dyDescent="0.3">
      <c r="A37" s="134" t="s">
        <v>139</v>
      </c>
      <c r="B37" s="135"/>
      <c r="C37" s="135"/>
      <c r="D37" s="135"/>
      <c r="E37" s="136"/>
      <c r="F37" s="148"/>
      <c r="G37" s="149"/>
      <c r="H37" s="150"/>
      <c r="I37" s="133"/>
      <c r="J37" s="1"/>
      <c r="K37" s="1"/>
      <c r="L37" s="2"/>
      <c r="M37" s="2"/>
    </row>
    <row r="38" spans="1:13" x14ac:dyDescent="0.3">
      <c r="A38" s="151" t="s">
        <v>61</v>
      </c>
      <c r="B38" s="151"/>
      <c r="C38" s="151"/>
      <c r="D38" s="151"/>
      <c r="E38" s="151"/>
      <c r="F38" s="151"/>
      <c r="G38" s="151"/>
      <c r="H38" s="151"/>
      <c r="I38" s="151"/>
      <c r="J38" s="1"/>
      <c r="K38" s="1"/>
      <c r="L38" s="2"/>
      <c r="M38" s="2"/>
    </row>
    <row r="39" spans="1:13" ht="28.2" x14ac:dyDescent="0.35">
      <c r="A39" s="7"/>
      <c r="B39" s="7"/>
      <c r="C39" s="7"/>
      <c r="D39" s="24" t="s">
        <v>62</v>
      </c>
      <c r="E39" s="174"/>
      <c r="F39" s="175"/>
      <c r="G39" s="87"/>
      <c r="H39" s="87"/>
      <c r="I39" s="154" t="s">
        <v>63</v>
      </c>
      <c r="J39" s="1"/>
      <c r="K39" s="1"/>
      <c r="L39" s="2"/>
      <c r="M39" s="2"/>
    </row>
    <row r="40" spans="1:13" ht="18" x14ac:dyDescent="0.35">
      <c r="A40" s="7"/>
      <c r="B40" s="7"/>
      <c r="C40" s="7"/>
      <c r="D40" s="24" t="s">
        <v>64</v>
      </c>
      <c r="E40" s="143"/>
      <c r="F40" s="144"/>
      <c r="G40" s="76"/>
      <c r="H40" s="76"/>
      <c r="I40" s="155"/>
      <c r="J40" s="10"/>
      <c r="K40" s="2"/>
      <c r="L40" s="2"/>
      <c r="M40" s="2"/>
    </row>
    <row r="41" spans="1:13" ht="15.6" x14ac:dyDescent="0.3">
      <c r="A41" s="176" t="s">
        <v>65</v>
      </c>
      <c r="B41" s="177"/>
      <c r="C41" s="177"/>
      <c r="D41" s="178"/>
      <c r="E41" s="179" t="s">
        <v>66</v>
      </c>
      <c r="F41" s="180"/>
      <c r="G41" s="180"/>
      <c r="H41" s="181"/>
      <c r="I41" s="156"/>
      <c r="J41" s="2"/>
      <c r="K41" s="2"/>
      <c r="L41" s="2"/>
      <c r="M41" s="2"/>
    </row>
    <row r="42" spans="1:13" ht="24.6" customHeight="1" x14ac:dyDescent="0.3">
      <c r="A42" s="137" t="s">
        <v>140</v>
      </c>
      <c r="B42" s="138"/>
      <c r="C42" s="138"/>
      <c r="D42" s="139"/>
      <c r="E42" s="143"/>
      <c r="F42" s="144"/>
      <c r="G42" s="93"/>
      <c r="H42" s="92"/>
      <c r="I42" s="94"/>
      <c r="J42" s="2"/>
      <c r="K42" s="2"/>
      <c r="L42" s="2"/>
      <c r="M42" s="2"/>
    </row>
    <row r="43" spans="1:13" ht="24.6" customHeight="1" x14ac:dyDescent="0.3">
      <c r="A43" s="137" t="s">
        <v>141</v>
      </c>
      <c r="B43" s="138"/>
      <c r="C43" s="138"/>
      <c r="D43" s="139"/>
      <c r="E43" s="143"/>
      <c r="F43" s="144"/>
      <c r="G43" s="93"/>
      <c r="H43" s="92"/>
      <c r="I43" s="94"/>
      <c r="J43" s="2"/>
      <c r="K43" s="2"/>
      <c r="L43" s="2"/>
      <c r="M43" s="2"/>
    </row>
    <row r="44" spans="1:13" ht="57" customHeight="1" x14ac:dyDescent="0.3">
      <c r="A44" s="137" t="s">
        <v>142</v>
      </c>
      <c r="B44" s="138"/>
      <c r="C44" s="138"/>
      <c r="D44" s="139"/>
      <c r="E44" s="143"/>
      <c r="F44" s="144"/>
      <c r="G44" s="93"/>
      <c r="H44" s="92"/>
      <c r="I44" s="94"/>
      <c r="J44" s="2"/>
      <c r="K44" s="2"/>
      <c r="L44" s="2"/>
      <c r="M44" s="2"/>
    </row>
    <row r="45" spans="1:13" ht="24.6" customHeight="1" x14ac:dyDescent="0.3">
      <c r="A45" s="137" t="s">
        <v>143</v>
      </c>
      <c r="B45" s="138"/>
      <c r="C45" s="138"/>
      <c r="D45" s="139"/>
      <c r="E45" s="143"/>
      <c r="F45" s="144"/>
      <c r="G45" s="93"/>
      <c r="H45" s="93"/>
      <c r="I45" s="94"/>
      <c r="J45" s="2"/>
      <c r="K45" s="2"/>
      <c r="L45" s="2"/>
      <c r="M45" s="2"/>
    </row>
    <row r="46" spans="1:13" ht="24.6" customHeight="1" x14ac:dyDescent="0.3">
      <c r="A46" s="137" t="s">
        <v>144</v>
      </c>
      <c r="B46" s="138"/>
      <c r="C46" s="138"/>
      <c r="D46" s="139"/>
      <c r="E46" s="143"/>
      <c r="F46" s="144"/>
      <c r="G46" s="93"/>
      <c r="H46" s="93"/>
      <c r="I46" s="94"/>
      <c r="J46" s="2"/>
      <c r="K46" s="2"/>
      <c r="L46" s="2"/>
      <c r="M46" s="2"/>
    </row>
    <row r="47" spans="1:13" x14ac:dyDescent="0.3">
      <c r="A47" s="166"/>
      <c r="B47" s="166"/>
      <c r="C47" s="1"/>
      <c r="D47" s="1"/>
      <c r="E47" s="3"/>
      <c r="F47" s="1"/>
      <c r="G47" s="1"/>
      <c r="H47" s="1"/>
      <c r="I47" s="3"/>
      <c r="J47" s="2"/>
      <c r="K47" s="2"/>
      <c r="L47" s="2"/>
      <c r="M47" s="2"/>
    </row>
    <row r="48" spans="1:13" x14ac:dyDescent="0.3">
      <c r="A48" s="165"/>
      <c r="B48" s="165"/>
      <c r="C48" s="1"/>
      <c r="D48" s="1"/>
      <c r="E48" s="3"/>
      <c r="F48" s="1"/>
      <c r="G48" s="1"/>
      <c r="H48" s="1"/>
      <c r="I48" s="3"/>
      <c r="J48" s="2"/>
      <c r="K48" s="2"/>
      <c r="L48" s="2"/>
      <c r="M48" s="2"/>
    </row>
    <row r="49" spans="1:13" x14ac:dyDescent="0.3">
      <c r="A49" s="165"/>
      <c r="B49" s="165"/>
      <c r="C49" s="1"/>
      <c r="D49" s="1"/>
      <c r="E49" s="3"/>
      <c r="F49" s="1"/>
      <c r="G49" s="1"/>
      <c r="H49" s="1"/>
      <c r="I49" s="3"/>
      <c r="J49" s="2"/>
      <c r="K49" s="2"/>
      <c r="L49" s="2"/>
      <c r="M49" s="2"/>
    </row>
    <row r="50" spans="1:13" x14ac:dyDescent="0.3">
      <c r="A50" s="165"/>
      <c r="B50" s="165"/>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42:D42"/>
    <mergeCell ref="E42:F42"/>
    <mergeCell ref="A43:D43"/>
    <mergeCell ref="E43:F43"/>
    <mergeCell ref="A44:D44"/>
    <mergeCell ref="E44:F44"/>
    <mergeCell ref="A49:B49"/>
    <mergeCell ref="A50:B50"/>
    <mergeCell ref="A45:D45"/>
    <mergeCell ref="E45:F45"/>
    <mergeCell ref="A46:D46"/>
    <mergeCell ref="E46:F46"/>
    <mergeCell ref="A47:B47"/>
    <mergeCell ref="A48:B48"/>
    <mergeCell ref="A32:D32"/>
    <mergeCell ref="F32:H32"/>
    <mergeCell ref="I32:I33"/>
    <mergeCell ref="A33:E33"/>
    <mergeCell ref="F33:H33"/>
    <mergeCell ref="A34:D34"/>
    <mergeCell ref="E39:F39"/>
    <mergeCell ref="I39:I41"/>
    <mergeCell ref="E40:F40"/>
    <mergeCell ref="A41:D41"/>
    <mergeCell ref="E41:H41"/>
    <mergeCell ref="A35:I35"/>
    <mergeCell ref="A38:I38"/>
    <mergeCell ref="A36:D36"/>
    <mergeCell ref="F36:H36"/>
    <mergeCell ref="I36:I37"/>
    <mergeCell ref="A37:E37"/>
    <mergeCell ref="F37:H37"/>
    <mergeCell ref="A30:D30"/>
    <mergeCell ref="F30:H30"/>
    <mergeCell ref="I30:I31"/>
    <mergeCell ref="A31:E31"/>
    <mergeCell ref="F31:H31"/>
    <mergeCell ref="A28:D28"/>
    <mergeCell ref="F28:H28"/>
    <mergeCell ref="I28:I29"/>
    <mergeCell ref="A29:E29"/>
    <mergeCell ref="F29:H29"/>
    <mergeCell ref="A26:D26"/>
    <mergeCell ref="F26:H26"/>
    <mergeCell ref="I26:I27"/>
    <mergeCell ref="A27:E27"/>
    <mergeCell ref="F27:H27"/>
    <mergeCell ref="A24:D24"/>
    <mergeCell ref="F24:H24"/>
    <mergeCell ref="I24:I25"/>
    <mergeCell ref="A25:E25"/>
    <mergeCell ref="F25:H25"/>
    <mergeCell ref="A19:D19"/>
    <mergeCell ref="F19:H19"/>
    <mergeCell ref="A22:D22"/>
    <mergeCell ref="F22:H22"/>
    <mergeCell ref="I22:I23"/>
    <mergeCell ref="A23:E23"/>
    <mergeCell ref="F23:H23"/>
    <mergeCell ref="A20:D20"/>
    <mergeCell ref="F20:H20"/>
    <mergeCell ref="I20:I21"/>
    <mergeCell ref="A21:E21"/>
    <mergeCell ref="F21:H21"/>
    <mergeCell ref="A15:D15"/>
    <mergeCell ref="I15:I16"/>
    <mergeCell ref="A16:E16"/>
    <mergeCell ref="A17:D17"/>
    <mergeCell ref="I17:I18"/>
    <mergeCell ref="A18:E18"/>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workbookViewId="0">
      <selection activeCell="F29" sqref="F29"/>
    </sheetView>
  </sheetViews>
  <sheetFormatPr defaultRowHeight="14.4" x14ac:dyDescent="0.3"/>
  <cols>
    <col min="1" max="1" width="11.33203125" customWidth="1"/>
    <col min="2" max="2" width="11" customWidth="1"/>
    <col min="3" max="3" width="11.5546875" customWidth="1"/>
    <col min="4" max="4" width="13" customWidth="1"/>
    <col min="5" max="5" width="11.109375" customWidth="1"/>
    <col min="6" max="8" width="29.6640625" customWidth="1"/>
  </cols>
  <sheetData>
    <row r="1" spans="1:11" x14ac:dyDescent="0.3">
      <c r="A1" s="2" t="s">
        <v>22</v>
      </c>
      <c r="B1" s="117">
        <v>45835</v>
      </c>
      <c r="C1" s="118"/>
      <c r="D1" s="118"/>
      <c r="E1" s="118"/>
      <c r="F1" s="2"/>
      <c r="G1" s="4" t="s">
        <v>23</v>
      </c>
      <c r="H1" s="95" t="s">
        <v>145</v>
      </c>
      <c r="I1" s="2"/>
      <c r="J1" s="2"/>
      <c r="K1" s="2"/>
    </row>
    <row r="2" spans="1:11" x14ac:dyDescent="0.3">
      <c r="A2" s="119"/>
      <c r="B2" s="119"/>
      <c r="C2" s="2"/>
      <c r="D2" s="2"/>
      <c r="E2" s="5"/>
      <c r="F2" s="2"/>
      <c r="G2" s="2"/>
      <c r="H2" s="2"/>
      <c r="I2" s="2"/>
      <c r="J2" s="2"/>
      <c r="K2" s="2"/>
    </row>
    <row r="3" spans="1:11" ht="18" x14ac:dyDescent="0.35">
      <c r="A3" s="6"/>
      <c r="B3" s="6"/>
      <c r="C3" s="6"/>
      <c r="D3" s="6"/>
      <c r="E3" s="7"/>
      <c r="F3" s="7"/>
      <c r="G3" s="7"/>
      <c r="H3" s="7"/>
      <c r="I3" s="2"/>
      <c r="J3" s="2"/>
      <c r="K3" s="2"/>
    </row>
    <row r="4" spans="1:11" ht="27.6" x14ac:dyDescent="0.3">
      <c r="A4" s="120" t="s">
        <v>146</v>
      </c>
      <c r="B4" s="121"/>
      <c r="C4" s="121"/>
      <c r="D4" s="122"/>
      <c r="E4" s="8" t="s">
        <v>25</v>
      </c>
      <c r="F4" s="86" t="s">
        <v>147</v>
      </c>
      <c r="G4" s="87" t="s">
        <v>148</v>
      </c>
      <c r="H4" s="88" t="s">
        <v>149</v>
      </c>
      <c r="I4" s="2"/>
      <c r="J4" s="10"/>
      <c r="K4" s="2"/>
    </row>
    <row r="5" spans="1:11" ht="27.6" x14ac:dyDescent="0.3">
      <c r="A5" s="123"/>
      <c r="B5" s="124"/>
      <c r="C5" s="124"/>
      <c r="D5" s="125"/>
      <c r="E5" s="9" t="s">
        <v>29</v>
      </c>
      <c r="F5" s="94" t="s">
        <v>150</v>
      </c>
      <c r="G5" s="94" t="s">
        <v>150</v>
      </c>
      <c r="H5" s="94" t="s">
        <v>150</v>
      </c>
      <c r="I5" s="2"/>
      <c r="J5" s="10"/>
      <c r="K5" s="2"/>
    </row>
    <row r="6" spans="1:11" ht="27.6" x14ac:dyDescent="0.3">
      <c r="A6" s="123"/>
      <c r="B6" s="124"/>
      <c r="C6" s="124"/>
      <c r="D6" s="125"/>
      <c r="E6" s="14" t="s">
        <v>151</v>
      </c>
      <c r="F6" s="94" t="s">
        <v>152</v>
      </c>
      <c r="G6" s="94" t="s">
        <v>153</v>
      </c>
      <c r="H6" s="94" t="s">
        <v>154</v>
      </c>
      <c r="I6" s="65"/>
      <c r="J6" s="12"/>
      <c r="K6" s="12"/>
    </row>
    <row r="7" spans="1:11" ht="27.6" x14ac:dyDescent="0.3">
      <c r="A7" s="126"/>
      <c r="B7" s="127"/>
      <c r="C7" s="127"/>
      <c r="D7" s="128"/>
      <c r="E7" s="14" t="s">
        <v>110</v>
      </c>
      <c r="F7" s="89" t="s">
        <v>155</v>
      </c>
      <c r="G7" s="89" t="s">
        <v>156</v>
      </c>
      <c r="H7" s="89" t="s">
        <v>157</v>
      </c>
      <c r="I7" s="12"/>
      <c r="J7" s="12"/>
      <c r="K7" s="12"/>
    </row>
    <row r="8" spans="1:11" ht="84" customHeight="1" x14ac:dyDescent="0.3">
      <c r="A8" s="129" t="s">
        <v>37</v>
      </c>
      <c r="B8" s="130"/>
      <c r="C8" s="130"/>
      <c r="D8" s="131"/>
      <c r="E8" s="16" t="s">
        <v>38</v>
      </c>
      <c r="F8" s="129" t="s">
        <v>158</v>
      </c>
      <c r="G8" s="130"/>
      <c r="H8" s="131"/>
      <c r="I8" s="66" t="s">
        <v>40</v>
      </c>
      <c r="J8" s="18"/>
      <c r="K8" s="18"/>
    </row>
    <row r="9" spans="1:11" ht="99.75" customHeight="1" x14ac:dyDescent="0.3">
      <c r="A9" s="140" t="s">
        <v>159</v>
      </c>
      <c r="B9" s="141"/>
      <c r="C9" s="141"/>
      <c r="D9" s="142"/>
      <c r="E9" s="15">
        <v>10</v>
      </c>
      <c r="F9" s="76">
        <v>4</v>
      </c>
      <c r="G9" s="76">
        <v>3</v>
      </c>
      <c r="H9" s="76">
        <v>3</v>
      </c>
      <c r="I9" s="132">
        <f>IF(F9="N/A",4,F9)+IF(G9="N/A",3,G9)+IF(H9="N/A",3,H9)</f>
        <v>10</v>
      </c>
      <c r="J9" s="10"/>
      <c r="K9" s="6"/>
    </row>
    <row r="10" spans="1:11" ht="18" x14ac:dyDescent="0.3">
      <c r="A10" s="134" t="s">
        <v>42</v>
      </c>
      <c r="B10" s="135"/>
      <c r="C10" s="135"/>
      <c r="D10" s="135"/>
      <c r="E10" s="136"/>
      <c r="F10" s="99"/>
      <c r="G10" s="99"/>
      <c r="H10" s="99"/>
      <c r="I10" s="133"/>
      <c r="J10" s="6"/>
      <c r="K10" s="6"/>
    </row>
    <row r="11" spans="1:11" ht="87" customHeight="1" x14ac:dyDescent="0.3">
      <c r="A11" s="140" t="s">
        <v>160</v>
      </c>
      <c r="B11" s="141"/>
      <c r="C11" s="141"/>
      <c r="D11" s="142"/>
      <c r="E11" s="19">
        <v>10</v>
      </c>
      <c r="F11" s="76">
        <v>4</v>
      </c>
      <c r="G11" s="76">
        <v>3</v>
      </c>
      <c r="H11" s="76">
        <v>3</v>
      </c>
      <c r="I11" s="132">
        <f>IF(F11="N/A",4,F11)+IF(G11="N/A",3,G11)+IF(H11="N/A",3,H11)</f>
        <v>10</v>
      </c>
      <c r="J11" s="6"/>
      <c r="K11" s="6"/>
    </row>
    <row r="12" spans="1:11" ht="18" x14ac:dyDescent="0.3">
      <c r="A12" s="134" t="s">
        <v>46</v>
      </c>
      <c r="B12" s="135"/>
      <c r="C12" s="135"/>
      <c r="D12" s="135"/>
      <c r="E12" s="136"/>
      <c r="F12" s="99"/>
      <c r="G12" s="99"/>
      <c r="H12" s="99"/>
      <c r="I12" s="133"/>
      <c r="J12" s="6"/>
      <c r="K12" s="6"/>
    </row>
    <row r="13" spans="1:11" ht="56.25" customHeight="1" x14ac:dyDescent="0.3">
      <c r="A13" s="137" t="s">
        <v>161</v>
      </c>
      <c r="B13" s="138"/>
      <c r="C13" s="138"/>
      <c r="D13" s="139"/>
      <c r="E13" s="19">
        <v>10</v>
      </c>
      <c r="F13" s="76">
        <v>4</v>
      </c>
      <c r="G13" s="76">
        <v>3</v>
      </c>
      <c r="H13" s="76">
        <v>3</v>
      </c>
      <c r="I13" s="132">
        <f>IF(F13="N/A",4,F13)+IF(G13="N/A",3,G13)+IF(H13="N/A",3,H13)</f>
        <v>10</v>
      </c>
      <c r="J13" s="6"/>
      <c r="K13" s="6"/>
    </row>
    <row r="14" spans="1:11" ht="18" x14ac:dyDescent="0.3">
      <c r="A14" s="134" t="s">
        <v>50</v>
      </c>
      <c r="B14" s="135"/>
      <c r="C14" s="135"/>
      <c r="D14" s="135"/>
      <c r="E14" s="136"/>
      <c r="F14" s="99"/>
      <c r="G14" s="99"/>
      <c r="H14" s="99"/>
      <c r="I14" s="133"/>
      <c r="J14" s="6"/>
      <c r="K14" s="6"/>
    </row>
    <row r="15" spans="1:11" ht="78" customHeight="1" x14ac:dyDescent="0.3">
      <c r="A15" s="137" t="s">
        <v>162</v>
      </c>
      <c r="B15" s="138"/>
      <c r="C15" s="138"/>
      <c r="D15" s="139"/>
      <c r="E15" s="19">
        <v>10</v>
      </c>
      <c r="F15" s="76" t="s">
        <v>45</v>
      </c>
      <c r="G15" s="76">
        <v>0</v>
      </c>
      <c r="H15" s="76" t="s">
        <v>45</v>
      </c>
      <c r="I15" s="132">
        <f>IF(F15="N/A",4,F15)+IF(G15="N/A",3,G15)+IF(H15="N/A",3,H15)</f>
        <v>7</v>
      </c>
      <c r="J15" s="2"/>
      <c r="K15" s="2"/>
    </row>
    <row r="16" spans="1:11" x14ac:dyDescent="0.3">
      <c r="A16" s="134" t="s">
        <v>55</v>
      </c>
      <c r="B16" s="135"/>
      <c r="C16" s="135"/>
      <c r="D16" s="135"/>
      <c r="E16" s="136"/>
      <c r="F16" s="99" t="s">
        <v>163</v>
      </c>
      <c r="G16" s="99" t="s">
        <v>164</v>
      </c>
      <c r="H16" s="99" t="s">
        <v>165</v>
      </c>
      <c r="I16" s="133"/>
      <c r="J16" s="2"/>
      <c r="K16" s="2"/>
    </row>
    <row r="17" spans="1:11" ht="75" customHeight="1" x14ac:dyDescent="0.3">
      <c r="A17" s="137" t="s">
        <v>166</v>
      </c>
      <c r="B17" s="138"/>
      <c r="C17" s="138"/>
      <c r="D17" s="139"/>
      <c r="E17" s="19">
        <v>10</v>
      </c>
      <c r="F17" s="76" t="s">
        <v>45</v>
      </c>
      <c r="G17" s="76">
        <v>0</v>
      </c>
      <c r="H17" s="76" t="s">
        <v>45</v>
      </c>
      <c r="I17" s="132">
        <f>IF(F17="N/A",4,F17)+IF(G17="N/A",3,G17)+IF(H17="N/A",3,H17)</f>
        <v>7</v>
      </c>
      <c r="J17" s="2"/>
      <c r="K17" s="2"/>
    </row>
    <row r="18" spans="1:11" x14ac:dyDescent="0.3">
      <c r="A18" s="134" t="s">
        <v>57</v>
      </c>
      <c r="B18" s="135"/>
      <c r="C18" s="135"/>
      <c r="D18" s="135"/>
      <c r="E18" s="136"/>
      <c r="F18" s="99" t="s">
        <v>163</v>
      </c>
      <c r="G18" s="99" t="s">
        <v>164</v>
      </c>
      <c r="H18" s="99" t="s">
        <v>165</v>
      </c>
      <c r="I18" s="133"/>
      <c r="J18" s="2"/>
      <c r="K18" s="2"/>
    </row>
    <row r="19" spans="1:11" ht="73.5" customHeight="1" x14ac:dyDescent="0.3">
      <c r="A19" s="137" t="s">
        <v>167</v>
      </c>
      <c r="B19" s="138"/>
      <c r="C19" s="138"/>
      <c r="D19" s="139"/>
      <c r="E19" s="19">
        <v>10</v>
      </c>
      <c r="F19" s="76">
        <v>0</v>
      </c>
      <c r="G19" s="76">
        <v>0</v>
      </c>
      <c r="H19" s="76">
        <v>3</v>
      </c>
      <c r="I19" s="132">
        <f>IF(F19="N/A",4,F19)+IF(G19="N/A",3,G19)+IF(H19="N/A",3,H19)</f>
        <v>3</v>
      </c>
      <c r="J19" s="2"/>
      <c r="K19" s="2"/>
    </row>
    <row r="20" spans="1:11" ht="296.39999999999998" x14ac:dyDescent="0.3">
      <c r="A20" s="134" t="s">
        <v>96</v>
      </c>
      <c r="B20" s="135"/>
      <c r="C20" s="135"/>
      <c r="D20" s="135"/>
      <c r="E20" s="136"/>
      <c r="F20" s="101" t="s">
        <v>168</v>
      </c>
      <c r="G20" s="99" t="s">
        <v>164</v>
      </c>
      <c r="H20" s="99" t="s">
        <v>169</v>
      </c>
      <c r="I20" s="133"/>
      <c r="J20" s="2"/>
      <c r="K20" s="2"/>
    </row>
    <row r="21" spans="1:11" ht="56.25" customHeight="1" x14ac:dyDescent="0.3">
      <c r="A21" s="137" t="s">
        <v>170</v>
      </c>
      <c r="B21" s="138"/>
      <c r="C21" s="138"/>
      <c r="D21" s="139"/>
      <c r="E21" s="19">
        <v>10</v>
      </c>
      <c r="F21" s="76">
        <v>0</v>
      </c>
      <c r="G21" s="76">
        <v>0</v>
      </c>
      <c r="H21" s="76">
        <v>3</v>
      </c>
      <c r="I21" s="132">
        <f>IF(F21="N/A",4,F21)+IF(G21="N/A",3,G21)+IF(H21="N/A",3,H21)</f>
        <v>3</v>
      </c>
      <c r="J21" s="2"/>
      <c r="K21" s="2"/>
    </row>
    <row r="22" spans="1:11" ht="27.6" x14ac:dyDescent="0.3">
      <c r="A22" s="134" t="s">
        <v>126</v>
      </c>
      <c r="B22" s="135"/>
      <c r="C22" s="135"/>
      <c r="D22" s="135"/>
      <c r="E22" s="136"/>
      <c r="F22" s="99" t="s">
        <v>171</v>
      </c>
      <c r="G22" s="99" t="s">
        <v>164</v>
      </c>
      <c r="H22" s="99"/>
      <c r="I22" s="133"/>
      <c r="J22" s="2"/>
      <c r="K22" s="2"/>
    </row>
    <row r="23" spans="1:11" ht="72.75" customHeight="1" x14ac:dyDescent="0.3">
      <c r="A23" s="137" t="s">
        <v>172</v>
      </c>
      <c r="B23" s="138"/>
      <c r="C23" s="138"/>
      <c r="D23" s="139"/>
      <c r="E23" s="15">
        <v>10</v>
      </c>
      <c r="F23" s="76">
        <v>4</v>
      </c>
      <c r="G23" s="76">
        <v>0</v>
      </c>
      <c r="H23" s="76">
        <v>3</v>
      </c>
      <c r="I23" s="132">
        <f>IF(F23="N/A",4,F23)+IF(G23="N/A",3,G23)+IF(H23="N/A",3,H23)</f>
        <v>7</v>
      </c>
      <c r="J23" s="2"/>
      <c r="K23" s="2"/>
    </row>
    <row r="24" spans="1:11" ht="409.6" x14ac:dyDescent="0.3">
      <c r="A24" s="134" t="s">
        <v>128</v>
      </c>
      <c r="B24" s="135"/>
      <c r="C24" s="135"/>
      <c r="D24" s="135"/>
      <c r="E24" s="136"/>
      <c r="F24" s="99" t="s">
        <v>173</v>
      </c>
      <c r="G24" s="99" t="s">
        <v>174</v>
      </c>
      <c r="H24" s="99"/>
      <c r="I24" s="133"/>
      <c r="J24" s="2"/>
      <c r="K24" s="2"/>
    </row>
    <row r="25" spans="1:11" ht="36" customHeight="1" x14ac:dyDescent="0.3">
      <c r="A25" s="137" t="s">
        <v>175</v>
      </c>
      <c r="B25" s="138"/>
      <c r="C25" s="138"/>
      <c r="D25" s="139"/>
      <c r="E25" s="15">
        <v>10</v>
      </c>
      <c r="F25" s="76">
        <v>4</v>
      </c>
      <c r="G25" s="76">
        <v>0</v>
      </c>
      <c r="H25" s="76">
        <v>3</v>
      </c>
      <c r="I25" s="132">
        <f>IF(F25="N/A",4,F25)+IF(G25="N/A",3,G25)+IF(H25="N/A",3,H25)</f>
        <v>7</v>
      </c>
      <c r="J25" s="2"/>
      <c r="K25" s="2"/>
    </row>
    <row r="26" spans="1:11" x14ac:dyDescent="0.3">
      <c r="A26" s="134" t="s">
        <v>130</v>
      </c>
      <c r="B26" s="135"/>
      <c r="C26" s="135"/>
      <c r="D26" s="135"/>
      <c r="E26" s="136"/>
      <c r="F26" s="99"/>
      <c r="G26" s="99" t="s">
        <v>176</v>
      </c>
      <c r="H26" s="99"/>
      <c r="I26" s="133"/>
      <c r="J26" s="2"/>
      <c r="K26" s="2"/>
    </row>
    <row r="27" spans="1:11" ht="30" customHeight="1" x14ac:dyDescent="0.3">
      <c r="A27" s="137" t="s">
        <v>177</v>
      </c>
      <c r="B27" s="138"/>
      <c r="C27" s="138"/>
      <c r="D27" s="139"/>
      <c r="E27" s="15">
        <v>10</v>
      </c>
      <c r="F27" s="76">
        <v>4</v>
      </c>
      <c r="G27" s="76">
        <v>3</v>
      </c>
      <c r="H27" s="76">
        <v>3</v>
      </c>
      <c r="I27" s="132">
        <f>IF(F27="N/A",4,F27)+IF(G27="N/A",3,G27)+IF(H27="N/A",3,H27)</f>
        <v>10</v>
      </c>
      <c r="J27" s="2"/>
      <c r="K27" s="2"/>
    </row>
    <row r="28" spans="1:11" x14ac:dyDescent="0.3">
      <c r="A28" s="134" t="s">
        <v>132</v>
      </c>
      <c r="B28" s="135"/>
      <c r="C28" s="135"/>
      <c r="D28" s="135"/>
      <c r="E28" s="136"/>
      <c r="F28" s="99" t="s">
        <v>178</v>
      </c>
      <c r="G28" s="99" t="s">
        <v>179</v>
      </c>
      <c r="H28" s="99"/>
      <c r="I28" s="133"/>
      <c r="J28" s="2"/>
      <c r="K28" s="2"/>
    </row>
    <row r="29" spans="1:11" ht="39.75" customHeight="1" x14ac:dyDescent="0.3">
      <c r="A29" s="137" t="s">
        <v>180</v>
      </c>
      <c r="B29" s="138"/>
      <c r="C29" s="138"/>
      <c r="D29" s="139"/>
      <c r="E29" s="63">
        <v>10</v>
      </c>
      <c r="F29" s="76">
        <v>4</v>
      </c>
      <c r="G29" s="76">
        <v>3</v>
      </c>
      <c r="H29" s="76">
        <v>3</v>
      </c>
      <c r="I29" s="132">
        <f>IF(F29="N/A",4,F29)+IF(G29="N/A",3,G29)+IF(H29="N/A",3,H29)</f>
        <v>10</v>
      </c>
      <c r="J29" s="2"/>
      <c r="K29" s="2"/>
    </row>
    <row r="30" spans="1:11" x14ac:dyDescent="0.3">
      <c r="A30" s="134" t="s">
        <v>134</v>
      </c>
      <c r="B30" s="135"/>
      <c r="C30" s="135"/>
      <c r="D30" s="135"/>
      <c r="E30" s="136"/>
      <c r="F30" s="99"/>
      <c r="G30" s="99"/>
      <c r="H30" s="99"/>
      <c r="I30" s="133"/>
      <c r="J30" s="2"/>
      <c r="K30" s="2"/>
    </row>
    <row r="31" spans="1:11" ht="105.75" customHeight="1" x14ac:dyDescent="0.3">
      <c r="A31" s="137" t="s">
        <v>181</v>
      </c>
      <c r="B31" s="138"/>
      <c r="C31" s="138"/>
      <c r="D31" s="139"/>
      <c r="E31" s="15">
        <v>10</v>
      </c>
      <c r="F31" s="76">
        <v>0</v>
      </c>
      <c r="G31" s="76">
        <v>0</v>
      </c>
      <c r="H31" s="76">
        <v>0</v>
      </c>
      <c r="I31" s="132">
        <f>IF(F31="N/A",4,F31)+IF(G31="N/A",3,G31)+IF(H31="N/A",3,H31)</f>
        <v>0</v>
      </c>
      <c r="J31" s="2"/>
      <c r="K31" s="2"/>
    </row>
    <row r="32" spans="1:11" ht="41.4" x14ac:dyDescent="0.3">
      <c r="A32" s="134" t="s">
        <v>136</v>
      </c>
      <c r="B32" s="135"/>
      <c r="C32" s="135"/>
      <c r="D32" s="135"/>
      <c r="E32" s="136"/>
      <c r="F32" s="99" t="s">
        <v>182</v>
      </c>
      <c r="G32" s="99" t="s">
        <v>164</v>
      </c>
      <c r="H32" s="99" t="s">
        <v>183</v>
      </c>
      <c r="I32" s="133"/>
      <c r="J32" s="2"/>
      <c r="K32" s="2"/>
    </row>
    <row r="33" spans="1:11" ht="81.75" customHeight="1" x14ac:dyDescent="0.3">
      <c r="A33" s="137" t="s">
        <v>184</v>
      </c>
      <c r="B33" s="138"/>
      <c r="C33" s="138"/>
      <c r="D33" s="139"/>
      <c r="E33" s="15">
        <v>10</v>
      </c>
      <c r="F33" s="76">
        <v>0</v>
      </c>
      <c r="G33" s="76">
        <v>0</v>
      </c>
      <c r="H33" s="76">
        <v>0</v>
      </c>
      <c r="I33" s="132">
        <f>IF(F33="N/A",4,F33)+IF(G33="N/A",3,G33)+IF(H33="N/A",3,H33)</f>
        <v>0</v>
      </c>
      <c r="J33" s="2"/>
      <c r="K33" s="2"/>
    </row>
    <row r="34" spans="1:11" x14ac:dyDescent="0.3">
      <c r="A34" s="134" t="s">
        <v>139</v>
      </c>
      <c r="B34" s="135"/>
      <c r="C34" s="135"/>
      <c r="D34" s="135"/>
      <c r="E34" s="136"/>
      <c r="F34" s="99" t="s">
        <v>185</v>
      </c>
      <c r="G34" s="99" t="s">
        <v>185</v>
      </c>
      <c r="H34" s="99" t="s">
        <v>185</v>
      </c>
      <c r="I34" s="133"/>
      <c r="J34" s="2"/>
      <c r="K34" s="2"/>
    </row>
    <row r="35" spans="1:11" x14ac:dyDescent="0.3">
      <c r="A35" s="145" t="s">
        <v>186</v>
      </c>
      <c r="B35" s="146"/>
      <c r="C35" s="146"/>
      <c r="D35" s="147"/>
      <c r="E35" s="68">
        <f>E9+E11+E13+E15+E17+E19+E21+E23+E25+E27+E29+E31+E33+E38+E40+E42+E44</f>
        <v>170</v>
      </c>
      <c r="F35" s="2"/>
      <c r="G35" s="2"/>
      <c r="H35" s="69" t="s">
        <v>60</v>
      </c>
      <c r="I35" s="68">
        <f>SUM(I9:I34)+SUM(I38:I45)</f>
        <v>124</v>
      </c>
      <c r="J35" s="2"/>
      <c r="K35" s="2"/>
    </row>
    <row r="36" spans="1:11" x14ac:dyDescent="0.3">
      <c r="A36" s="151" t="s">
        <v>61</v>
      </c>
      <c r="B36" s="151"/>
      <c r="C36" s="151"/>
      <c r="D36" s="151"/>
      <c r="E36" s="151"/>
      <c r="F36" s="151"/>
      <c r="G36" s="151"/>
      <c r="H36" s="151"/>
      <c r="I36" s="151"/>
      <c r="J36" s="2"/>
      <c r="K36" s="2"/>
    </row>
    <row r="37" spans="1:11" ht="41.4" x14ac:dyDescent="0.3">
      <c r="A37" s="130" t="s">
        <v>187</v>
      </c>
      <c r="B37" s="130"/>
      <c r="C37" s="130"/>
      <c r="D37" s="131"/>
      <c r="E37" s="16" t="s">
        <v>38</v>
      </c>
      <c r="F37" s="179" t="s">
        <v>188</v>
      </c>
      <c r="G37" s="180"/>
      <c r="H37" s="181"/>
      <c r="I37" s="67" t="s">
        <v>40</v>
      </c>
      <c r="J37" s="2"/>
      <c r="K37" s="2"/>
    </row>
    <row r="38" spans="1:11" ht="112.5" customHeight="1" x14ac:dyDescent="0.3">
      <c r="A38" s="138" t="s">
        <v>189</v>
      </c>
      <c r="B38" s="138"/>
      <c r="C38" s="138"/>
      <c r="D38" s="139"/>
      <c r="E38" s="11">
        <v>10</v>
      </c>
      <c r="F38" s="143" t="s">
        <v>45</v>
      </c>
      <c r="G38" s="170"/>
      <c r="H38" s="144"/>
      <c r="I38" s="132">
        <f>IF(F38="N/A",10,F38)</f>
        <v>10</v>
      </c>
      <c r="J38" s="2"/>
      <c r="K38" s="2"/>
    </row>
    <row r="39" spans="1:11" x14ac:dyDescent="0.3">
      <c r="A39" s="134" t="s">
        <v>190</v>
      </c>
      <c r="B39" s="135"/>
      <c r="C39" s="135"/>
      <c r="D39" s="135"/>
      <c r="E39" s="136"/>
      <c r="F39" s="148"/>
      <c r="G39" s="149"/>
      <c r="H39" s="150"/>
      <c r="I39" s="133"/>
      <c r="J39" s="2"/>
      <c r="K39" s="2"/>
    </row>
    <row r="40" spans="1:11" ht="89.25" customHeight="1" x14ac:dyDescent="0.3">
      <c r="A40" s="138" t="s">
        <v>191</v>
      </c>
      <c r="B40" s="138"/>
      <c r="C40" s="138"/>
      <c r="D40" s="139"/>
      <c r="E40" s="11">
        <v>10</v>
      </c>
      <c r="F40" s="143" t="s">
        <v>45</v>
      </c>
      <c r="G40" s="170"/>
      <c r="H40" s="144"/>
      <c r="I40" s="132">
        <f>IF(F40="N/A",10,F40)</f>
        <v>10</v>
      </c>
      <c r="J40" s="2"/>
      <c r="K40" s="2"/>
    </row>
    <row r="41" spans="1:11" x14ac:dyDescent="0.3">
      <c r="A41" s="134" t="s">
        <v>190</v>
      </c>
      <c r="B41" s="135"/>
      <c r="C41" s="135"/>
      <c r="D41" s="135"/>
      <c r="E41" s="136"/>
      <c r="F41" s="148"/>
      <c r="G41" s="149"/>
      <c r="H41" s="150"/>
      <c r="I41" s="133"/>
      <c r="J41" s="2"/>
      <c r="K41" s="2"/>
    </row>
    <row r="42" spans="1:11" ht="49.5" customHeight="1" x14ac:dyDescent="0.3">
      <c r="A42" s="138" t="s">
        <v>192</v>
      </c>
      <c r="B42" s="138"/>
      <c r="C42" s="138"/>
      <c r="D42" s="139"/>
      <c r="E42" s="11">
        <v>10</v>
      </c>
      <c r="F42" s="143" t="s">
        <v>45</v>
      </c>
      <c r="G42" s="170"/>
      <c r="H42" s="144"/>
      <c r="I42" s="132">
        <f>IF(F42="N/A",10,F42)</f>
        <v>10</v>
      </c>
      <c r="J42" s="2"/>
      <c r="K42" s="2"/>
    </row>
    <row r="43" spans="1:11" x14ac:dyDescent="0.3">
      <c r="A43" s="134" t="s">
        <v>190</v>
      </c>
      <c r="B43" s="135"/>
      <c r="C43" s="135"/>
      <c r="D43" s="135"/>
      <c r="E43" s="136"/>
      <c r="F43" s="148"/>
      <c r="G43" s="149"/>
      <c r="H43" s="150"/>
      <c r="I43" s="133"/>
      <c r="J43" s="2"/>
      <c r="K43" s="2"/>
    </row>
    <row r="44" spans="1:11" ht="98.25" customHeight="1" x14ac:dyDescent="0.3">
      <c r="A44" s="137" t="s">
        <v>193</v>
      </c>
      <c r="B44" s="138"/>
      <c r="C44" s="138"/>
      <c r="D44" s="139"/>
      <c r="E44" s="21">
        <v>10</v>
      </c>
      <c r="F44" s="143" t="s">
        <v>45</v>
      </c>
      <c r="G44" s="170"/>
      <c r="H44" s="144"/>
      <c r="I44" s="132">
        <f>IF(F44="N/A",10,F44)</f>
        <v>10</v>
      </c>
      <c r="J44" s="2"/>
      <c r="K44" s="2"/>
    </row>
    <row r="45" spans="1:11" x14ac:dyDescent="0.3">
      <c r="A45" s="134" t="s">
        <v>190</v>
      </c>
      <c r="B45" s="135"/>
      <c r="C45" s="135"/>
      <c r="D45" s="135"/>
      <c r="E45" s="136"/>
      <c r="F45" s="148"/>
      <c r="G45" s="149"/>
      <c r="H45" s="150"/>
      <c r="I45" s="133"/>
      <c r="J45" s="2"/>
      <c r="K45" s="2"/>
    </row>
    <row r="46" spans="1:11" x14ac:dyDescent="0.3">
      <c r="J46" s="2"/>
      <c r="K46" s="2"/>
    </row>
    <row r="47" spans="1:11" x14ac:dyDescent="0.3">
      <c r="A47" s="151" t="s">
        <v>61</v>
      </c>
      <c r="B47" s="151"/>
      <c r="C47" s="151"/>
      <c r="D47" s="151"/>
      <c r="E47" s="151"/>
      <c r="F47" s="151"/>
      <c r="G47" s="151"/>
      <c r="H47" s="151"/>
      <c r="I47" s="151"/>
      <c r="J47" s="10"/>
      <c r="K47" s="2"/>
    </row>
    <row r="48" spans="1:11" ht="28.2" x14ac:dyDescent="0.35">
      <c r="A48" s="7"/>
      <c r="B48" s="7"/>
      <c r="C48" s="7"/>
      <c r="D48" s="24" t="s">
        <v>62</v>
      </c>
      <c r="E48" s="174"/>
      <c r="F48" s="175"/>
      <c r="G48" s="87"/>
      <c r="H48" s="87"/>
      <c r="I48" s="182" t="s">
        <v>63</v>
      </c>
      <c r="J48" s="2"/>
      <c r="K48" s="2"/>
    </row>
    <row r="49" spans="1:11" ht="18" x14ac:dyDescent="0.35">
      <c r="A49" s="7"/>
      <c r="B49" s="7"/>
      <c r="C49" s="7"/>
      <c r="D49" s="24" t="s">
        <v>64</v>
      </c>
      <c r="E49" s="143"/>
      <c r="F49" s="144"/>
      <c r="G49" s="76"/>
      <c r="H49" s="76"/>
      <c r="I49" s="183"/>
      <c r="J49" s="2"/>
      <c r="K49" s="2"/>
    </row>
    <row r="50" spans="1:11" ht="15.6" x14ac:dyDescent="0.3">
      <c r="A50" s="176" t="s">
        <v>65</v>
      </c>
      <c r="B50" s="177"/>
      <c r="C50" s="177"/>
      <c r="D50" s="178"/>
      <c r="E50" s="179" t="s">
        <v>66</v>
      </c>
      <c r="F50" s="180"/>
      <c r="G50" s="180"/>
      <c r="H50" s="181"/>
      <c r="I50" s="184"/>
      <c r="J50" s="2"/>
      <c r="K50" s="2"/>
    </row>
    <row r="51" spans="1:11" ht="24.6" customHeight="1" x14ac:dyDescent="0.3">
      <c r="A51" s="137" t="s">
        <v>194</v>
      </c>
      <c r="B51" s="138"/>
      <c r="C51" s="138"/>
      <c r="D51" s="139"/>
      <c r="E51" s="143"/>
      <c r="F51" s="144"/>
      <c r="G51" s="93"/>
      <c r="H51" s="92"/>
      <c r="I51" s="100"/>
      <c r="J51" s="2"/>
      <c r="K51" s="2"/>
    </row>
    <row r="52" spans="1:11" ht="24.6" customHeight="1" x14ac:dyDescent="0.3">
      <c r="A52" s="137" t="s">
        <v>195</v>
      </c>
      <c r="B52" s="138"/>
      <c r="C52" s="138"/>
      <c r="D52" s="139"/>
      <c r="E52" s="143"/>
      <c r="F52" s="144"/>
      <c r="G52" s="93"/>
      <c r="H52" s="92"/>
      <c r="I52" s="100"/>
      <c r="J52" s="2"/>
      <c r="K52" s="2"/>
    </row>
    <row r="53" spans="1:11" ht="24.6" customHeight="1" x14ac:dyDescent="0.3">
      <c r="A53" s="137" t="s">
        <v>196</v>
      </c>
      <c r="B53" s="138"/>
      <c r="C53" s="138"/>
      <c r="D53" s="139"/>
      <c r="E53" s="143"/>
      <c r="F53" s="144"/>
      <c r="G53" s="93"/>
      <c r="H53" s="92"/>
      <c r="I53" s="100"/>
      <c r="J53" s="2"/>
      <c r="K53" s="2"/>
    </row>
    <row r="54" spans="1:11" ht="24.6" customHeight="1" x14ac:dyDescent="0.3">
      <c r="A54" s="137" t="s">
        <v>197</v>
      </c>
      <c r="B54" s="138"/>
      <c r="C54" s="138"/>
      <c r="D54" s="139"/>
      <c r="E54" s="143"/>
      <c r="F54" s="144"/>
      <c r="G54" s="93"/>
      <c r="H54" s="93"/>
      <c r="I54" s="100"/>
      <c r="J54" s="2"/>
      <c r="K54" s="2"/>
    </row>
    <row r="55" spans="1:11" x14ac:dyDescent="0.3">
      <c r="A55" s="137" t="s">
        <v>198</v>
      </c>
      <c r="B55" s="138"/>
      <c r="C55" s="138"/>
      <c r="D55" s="139"/>
      <c r="E55" s="143"/>
      <c r="F55" s="144"/>
      <c r="G55" s="93"/>
      <c r="H55" s="93"/>
      <c r="I55" s="100"/>
      <c r="J55" s="2"/>
      <c r="K55" s="2"/>
    </row>
    <row r="56" spans="1:11" x14ac:dyDescent="0.3">
      <c r="A56" s="137" t="s">
        <v>199</v>
      </c>
      <c r="B56" s="138"/>
      <c r="C56" s="138"/>
      <c r="D56" s="139"/>
      <c r="E56" s="185"/>
      <c r="F56" s="186"/>
      <c r="G56" s="93"/>
      <c r="H56" s="93"/>
      <c r="I56" s="100"/>
      <c r="J56" s="2"/>
      <c r="K56" s="2"/>
    </row>
    <row r="57" spans="1:11" ht="24.6" customHeight="1" x14ac:dyDescent="0.3">
      <c r="A57" s="137" t="s">
        <v>200</v>
      </c>
      <c r="B57" s="138"/>
      <c r="C57" s="138"/>
      <c r="D57" s="139"/>
      <c r="E57" s="143"/>
      <c r="F57" s="144"/>
      <c r="G57" s="93"/>
      <c r="H57" s="93"/>
      <c r="I57" s="100"/>
      <c r="J57" s="2"/>
      <c r="K57" s="2"/>
    </row>
    <row r="58" spans="1:11" x14ac:dyDescent="0.3">
      <c r="A58" s="166"/>
      <c r="B58" s="166"/>
      <c r="C58" s="1"/>
      <c r="D58" s="1"/>
      <c r="E58" s="3"/>
      <c r="F58" s="1"/>
      <c r="G58" s="1"/>
      <c r="H58" s="1"/>
      <c r="I58" s="2"/>
      <c r="J58" s="2"/>
      <c r="K58" s="2"/>
    </row>
    <row r="59" spans="1:11" x14ac:dyDescent="0.3">
      <c r="A59" s="165"/>
      <c r="B59" s="165"/>
      <c r="C59" s="1"/>
      <c r="D59" s="1"/>
      <c r="E59" s="3"/>
      <c r="F59" s="1"/>
      <c r="G59" s="1"/>
      <c r="H59" s="1"/>
      <c r="I59" s="2"/>
      <c r="J59" s="2"/>
      <c r="K59" s="2"/>
    </row>
    <row r="60" spans="1:11" x14ac:dyDescent="0.3">
      <c r="A60" s="165"/>
      <c r="B60" s="165"/>
      <c r="C60" s="1"/>
      <c r="D60" s="1"/>
      <c r="E60" s="3"/>
      <c r="F60" s="1"/>
      <c r="G60" s="1"/>
      <c r="H60" s="1"/>
      <c r="I60" s="2"/>
      <c r="J60" s="2"/>
      <c r="K60" s="2"/>
    </row>
    <row r="61" spans="1:11" x14ac:dyDescent="0.3">
      <c r="A61" s="165"/>
      <c r="B61" s="165"/>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 ref="A47:I47"/>
    <mergeCell ref="A51:D51"/>
    <mergeCell ref="E51:F51"/>
    <mergeCell ref="A52:D52"/>
    <mergeCell ref="E52:F52"/>
    <mergeCell ref="E48:F48"/>
    <mergeCell ref="I48:I50"/>
    <mergeCell ref="E49:F49"/>
    <mergeCell ref="A50:D50"/>
    <mergeCell ref="E50:H50"/>
    <mergeCell ref="A42:D42"/>
    <mergeCell ref="F42:H42"/>
    <mergeCell ref="I42:I43"/>
    <mergeCell ref="A43:E43"/>
    <mergeCell ref="F43:H43"/>
    <mergeCell ref="A44:D44"/>
    <mergeCell ref="F44:H44"/>
    <mergeCell ref="I44:I45"/>
    <mergeCell ref="A45:E45"/>
    <mergeCell ref="F45:H45"/>
    <mergeCell ref="A37:D37"/>
    <mergeCell ref="F37:H37"/>
    <mergeCell ref="A40:D40"/>
    <mergeCell ref="F40:H40"/>
    <mergeCell ref="I40:I41"/>
    <mergeCell ref="A41:E41"/>
    <mergeCell ref="F41:H41"/>
    <mergeCell ref="A38:D38"/>
    <mergeCell ref="F38:H38"/>
    <mergeCell ref="I38:I39"/>
    <mergeCell ref="A39:E39"/>
    <mergeCell ref="F39:H39"/>
    <mergeCell ref="A31:D31"/>
    <mergeCell ref="I31:I32"/>
    <mergeCell ref="A32:E32"/>
    <mergeCell ref="A36:I36"/>
    <mergeCell ref="A33:D33"/>
    <mergeCell ref="I33:I34"/>
    <mergeCell ref="A34:E34"/>
    <mergeCell ref="A35:D35"/>
    <mergeCell ref="A25:D25"/>
    <mergeCell ref="I25:I26"/>
    <mergeCell ref="A26:E26"/>
    <mergeCell ref="A29:D29"/>
    <mergeCell ref="I29:I30"/>
    <mergeCell ref="A30:E30"/>
    <mergeCell ref="A27:D27"/>
    <mergeCell ref="I27:I28"/>
    <mergeCell ref="A28:E28"/>
    <mergeCell ref="A21:D21"/>
    <mergeCell ref="I21:I22"/>
    <mergeCell ref="A22:E22"/>
    <mergeCell ref="A23:D23"/>
    <mergeCell ref="I23:I24"/>
    <mergeCell ref="A24:E24"/>
    <mergeCell ref="A17:D17"/>
    <mergeCell ref="I17:I18"/>
    <mergeCell ref="A18:E18"/>
    <mergeCell ref="A19:D19"/>
    <mergeCell ref="I19:I20"/>
    <mergeCell ref="A20:E20"/>
    <mergeCell ref="A15:D15"/>
    <mergeCell ref="I15:I16"/>
    <mergeCell ref="A16:E16"/>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4.4" x14ac:dyDescent="0.3"/>
  <cols>
    <col min="1" max="1" width="27.5546875" bestFit="1" customWidth="1"/>
    <col min="3" max="3" width="22.44140625" customWidth="1"/>
    <col min="5" max="5" width="26.44140625" customWidth="1"/>
    <col min="7" max="7" width="28.5546875" customWidth="1"/>
    <col min="9" max="9" width="15" customWidth="1"/>
    <col min="11" max="11" width="52.88671875" bestFit="1" customWidth="1"/>
  </cols>
  <sheetData>
    <row r="1" spans="1:11" x14ac:dyDescent="0.3">
      <c r="A1" t="s">
        <v>201</v>
      </c>
      <c r="C1" t="s">
        <v>202</v>
      </c>
      <c r="E1" t="s">
        <v>203</v>
      </c>
      <c r="G1" s="70" t="s">
        <v>204</v>
      </c>
      <c r="I1" t="s">
        <v>205</v>
      </c>
      <c r="K1" t="s">
        <v>206</v>
      </c>
    </row>
    <row r="2" spans="1:11" x14ac:dyDescent="0.3">
      <c r="A2" t="s">
        <v>207</v>
      </c>
      <c r="C2" t="s">
        <v>207</v>
      </c>
      <c r="E2" s="70"/>
      <c r="G2" s="70"/>
      <c r="I2" s="70"/>
      <c r="J2" s="70"/>
      <c r="K2" s="70"/>
    </row>
    <row r="3" spans="1:11" x14ac:dyDescent="0.3">
      <c r="A3" t="s">
        <v>76</v>
      </c>
      <c r="C3" t="s">
        <v>208</v>
      </c>
      <c r="E3" s="70">
        <v>4</v>
      </c>
      <c r="G3" s="70">
        <v>3</v>
      </c>
      <c r="I3" s="70">
        <v>10</v>
      </c>
      <c r="J3" s="70"/>
      <c r="K3" s="70" t="s">
        <v>209</v>
      </c>
    </row>
    <row r="4" spans="1:11" x14ac:dyDescent="0.3">
      <c r="A4" t="s">
        <v>210</v>
      </c>
      <c r="C4" t="s">
        <v>77</v>
      </c>
      <c r="E4" s="70">
        <v>0</v>
      </c>
      <c r="G4" s="70">
        <v>0</v>
      </c>
      <c r="I4" s="70">
        <v>0</v>
      </c>
      <c r="J4" s="70"/>
      <c r="K4" s="70" t="s">
        <v>211</v>
      </c>
    </row>
    <row r="5" spans="1:11" x14ac:dyDescent="0.3">
      <c r="A5" t="s">
        <v>79</v>
      </c>
      <c r="C5" t="s">
        <v>212</v>
      </c>
      <c r="E5" s="70" t="s">
        <v>45</v>
      </c>
      <c r="G5" s="70" t="s">
        <v>45</v>
      </c>
      <c r="I5" s="70" t="s">
        <v>45</v>
      </c>
      <c r="J5" s="70"/>
    </row>
    <row r="6" spans="1:11" x14ac:dyDescent="0.3">
      <c r="A6" t="s">
        <v>213</v>
      </c>
      <c r="C6" t="s">
        <v>76</v>
      </c>
      <c r="K6" t="s">
        <v>214</v>
      </c>
    </row>
    <row r="7" spans="1:11" x14ac:dyDescent="0.3">
      <c r="A7" t="s">
        <v>215</v>
      </c>
      <c r="C7" t="s">
        <v>216</v>
      </c>
      <c r="I7" t="s">
        <v>217</v>
      </c>
    </row>
    <row r="8" spans="1:11" x14ac:dyDescent="0.3">
      <c r="A8" t="s">
        <v>218</v>
      </c>
      <c r="C8" t="s">
        <v>219</v>
      </c>
      <c r="I8" s="71"/>
      <c r="K8" s="72" t="s">
        <v>2</v>
      </c>
    </row>
    <row r="9" spans="1:11" x14ac:dyDescent="0.3">
      <c r="A9" t="s">
        <v>220</v>
      </c>
      <c r="C9" t="s">
        <v>221</v>
      </c>
      <c r="I9" s="71" t="s">
        <v>222</v>
      </c>
      <c r="K9" s="73" t="s">
        <v>223</v>
      </c>
    </row>
    <row r="10" spans="1:11" x14ac:dyDescent="0.3">
      <c r="I10" s="71" t="s">
        <v>224</v>
      </c>
      <c r="K10" s="72" t="s">
        <v>225</v>
      </c>
    </row>
    <row r="11" spans="1:11" x14ac:dyDescent="0.3">
      <c r="E11" t="s">
        <v>226</v>
      </c>
      <c r="G11" t="s">
        <v>227</v>
      </c>
      <c r="I11" s="71" t="s">
        <v>228</v>
      </c>
      <c r="K11" s="73" t="s">
        <v>229</v>
      </c>
    </row>
    <row r="12" spans="1:11" x14ac:dyDescent="0.3">
      <c r="A12" t="s">
        <v>151</v>
      </c>
      <c r="C12" t="s">
        <v>230</v>
      </c>
      <c r="E12" t="s">
        <v>207</v>
      </c>
      <c r="G12" t="s">
        <v>207</v>
      </c>
      <c r="I12" s="71" t="s">
        <v>231</v>
      </c>
      <c r="K12" s="72" t="s">
        <v>232</v>
      </c>
    </row>
    <row r="13" spans="1:11" x14ac:dyDescent="0.3">
      <c r="A13" t="s">
        <v>207</v>
      </c>
      <c r="C13" t="s">
        <v>207</v>
      </c>
      <c r="E13" t="s">
        <v>233</v>
      </c>
      <c r="G13" t="s">
        <v>234</v>
      </c>
      <c r="I13" s="71" t="s">
        <v>235</v>
      </c>
      <c r="K13" s="73" t="s">
        <v>236</v>
      </c>
    </row>
    <row r="14" spans="1:11" x14ac:dyDescent="0.3">
      <c r="A14" t="s">
        <v>237</v>
      </c>
      <c r="C14" t="s">
        <v>150</v>
      </c>
      <c r="E14" t="s">
        <v>238</v>
      </c>
      <c r="G14" t="s">
        <v>239</v>
      </c>
      <c r="I14" s="71" t="s">
        <v>4</v>
      </c>
      <c r="K14" s="72" t="s">
        <v>240</v>
      </c>
    </row>
    <row r="15" spans="1:11" x14ac:dyDescent="0.3">
      <c r="A15" t="s">
        <v>241</v>
      </c>
      <c r="C15" t="s">
        <v>242</v>
      </c>
      <c r="E15" t="s">
        <v>243</v>
      </c>
      <c r="G15" t="s">
        <v>244</v>
      </c>
      <c r="I15" s="71" t="s">
        <v>245</v>
      </c>
      <c r="K15" s="73" t="s">
        <v>246</v>
      </c>
    </row>
    <row r="16" spans="1:11" x14ac:dyDescent="0.3">
      <c r="A16" t="s">
        <v>154</v>
      </c>
      <c r="C16" t="s">
        <v>247</v>
      </c>
      <c r="E16" t="s">
        <v>248</v>
      </c>
      <c r="I16" s="71" t="s">
        <v>249</v>
      </c>
      <c r="K16" s="72" t="s">
        <v>250</v>
      </c>
    </row>
    <row r="17" spans="1:11" x14ac:dyDescent="0.3">
      <c r="A17" t="s">
        <v>251</v>
      </c>
      <c r="C17" t="s">
        <v>252</v>
      </c>
      <c r="E17" t="s">
        <v>79</v>
      </c>
      <c r="G17" t="s">
        <v>253</v>
      </c>
      <c r="I17" s="71" t="s">
        <v>254</v>
      </c>
      <c r="K17" s="73" t="s">
        <v>255</v>
      </c>
    </row>
    <row r="18" spans="1:11" x14ac:dyDescent="0.3">
      <c r="A18" t="s">
        <v>256</v>
      </c>
      <c r="E18" t="s">
        <v>257</v>
      </c>
      <c r="G18" t="s">
        <v>207</v>
      </c>
      <c r="I18" s="71" t="s">
        <v>258</v>
      </c>
      <c r="K18" s="72" t="s">
        <v>259</v>
      </c>
    </row>
    <row r="19" spans="1:11" x14ac:dyDescent="0.3">
      <c r="A19" t="s">
        <v>152</v>
      </c>
      <c r="C19" t="s">
        <v>260</v>
      </c>
      <c r="E19" t="s">
        <v>261</v>
      </c>
      <c r="G19" t="s">
        <v>109</v>
      </c>
      <c r="I19" s="71" t="s">
        <v>262</v>
      </c>
      <c r="K19" s="73" t="s">
        <v>263</v>
      </c>
    </row>
    <row r="20" spans="1:11" x14ac:dyDescent="0.3">
      <c r="A20" t="s">
        <v>153</v>
      </c>
      <c r="C20" t="s">
        <v>207</v>
      </c>
      <c r="G20" t="s">
        <v>264</v>
      </c>
      <c r="I20" s="71" t="s">
        <v>265</v>
      </c>
      <c r="K20" s="72" t="s">
        <v>266</v>
      </c>
    </row>
    <row r="21" spans="1:11" x14ac:dyDescent="0.3">
      <c r="C21" t="s">
        <v>267</v>
      </c>
      <c r="E21" t="s">
        <v>268</v>
      </c>
      <c r="G21" t="s">
        <v>269</v>
      </c>
      <c r="K21" s="73" t="s">
        <v>270</v>
      </c>
    </row>
    <row r="22" spans="1:11" x14ac:dyDescent="0.3">
      <c r="A22" t="s">
        <v>271</v>
      </c>
      <c r="C22" t="s">
        <v>272</v>
      </c>
      <c r="E22" t="s">
        <v>207</v>
      </c>
      <c r="G22" t="s">
        <v>273</v>
      </c>
      <c r="K22" s="72" t="s">
        <v>274</v>
      </c>
    </row>
    <row r="23" spans="1:11" x14ac:dyDescent="0.3">
      <c r="A23" t="s">
        <v>207</v>
      </c>
      <c r="C23" t="s">
        <v>275</v>
      </c>
      <c r="E23" t="s">
        <v>107</v>
      </c>
      <c r="G23" t="s">
        <v>45</v>
      </c>
      <c r="K23" s="73" t="s">
        <v>276</v>
      </c>
    </row>
    <row r="24" spans="1:11" x14ac:dyDescent="0.3">
      <c r="A24" t="s">
        <v>277</v>
      </c>
      <c r="C24" t="s">
        <v>32</v>
      </c>
      <c r="E24" t="s">
        <v>278</v>
      </c>
      <c r="K24" s="72" t="s">
        <v>279</v>
      </c>
    </row>
    <row r="25" spans="1:11" x14ac:dyDescent="0.3">
      <c r="A25" t="s">
        <v>79</v>
      </c>
      <c r="C25" t="s">
        <v>280</v>
      </c>
      <c r="E25" t="s">
        <v>109</v>
      </c>
      <c r="K25" s="72" t="s">
        <v>281</v>
      </c>
    </row>
    <row r="26" spans="1:11" x14ac:dyDescent="0.3">
      <c r="A26" t="s">
        <v>282</v>
      </c>
      <c r="C26" t="s">
        <v>283</v>
      </c>
      <c r="E26" t="s">
        <v>284</v>
      </c>
      <c r="K26" s="73" t="s">
        <v>285</v>
      </c>
    </row>
    <row r="27" spans="1:11" x14ac:dyDescent="0.3">
      <c r="A27" s="74" t="s">
        <v>30</v>
      </c>
      <c r="C27" t="s">
        <v>286</v>
      </c>
      <c r="E27" t="s">
        <v>273</v>
      </c>
      <c r="K27" s="72" t="s">
        <v>287</v>
      </c>
    </row>
    <row r="28" spans="1:11" x14ac:dyDescent="0.3">
      <c r="A28" t="s">
        <v>288</v>
      </c>
      <c r="C28" t="s">
        <v>289</v>
      </c>
      <c r="E28" t="s">
        <v>290</v>
      </c>
      <c r="K28" s="73" t="s">
        <v>291</v>
      </c>
    </row>
    <row r="29" spans="1:11" x14ac:dyDescent="0.3">
      <c r="C29" t="s">
        <v>79</v>
      </c>
      <c r="E29" t="s">
        <v>79</v>
      </c>
      <c r="K29" s="72" t="s">
        <v>292</v>
      </c>
    </row>
    <row r="30" spans="1:11" x14ac:dyDescent="0.3">
      <c r="K30" s="73" t="s">
        <v>293</v>
      </c>
    </row>
    <row r="31" spans="1:11" x14ac:dyDescent="0.3">
      <c r="K31" s="72" t="s">
        <v>294</v>
      </c>
    </row>
    <row r="32" spans="1:11" x14ac:dyDescent="0.3">
      <c r="K32" s="73" t="s">
        <v>295</v>
      </c>
    </row>
    <row r="33" spans="11:11" x14ac:dyDescent="0.3">
      <c r="K33" s="72" t="s">
        <v>296</v>
      </c>
    </row>
    <row r="34" spans="11:11" x14ac:dyDescent="0.3">
      <c r="K34" s="73" t="s">
        <v>297</v>
      </c>
    </row>
    <row r="35" spans="11:11" x14ac:dyDescent="0.3">
      <c r="K35" s="72" t="s">
        <v>298</v>
      </c>
    </row>
    <row r="36" spans="11:11" x14ac:dyDescent="0.3">
      <c r="K36" s="73" t="s">
        <v>299</v>
      </c>
    </row>
    <row r="37" spans="11:11" x14ac:dyDescent="0.3">
      <c r="K37" s="72" t="s">
        <v>300</v>
      </c>
    </row>
    <row r="38" spans="11:11" x14ac:dyDescent="0.3">
      <c r="K38" s="73" t="s">
        <v>301</v>
      </c>
    </row>
    <row r="39" spans="11:11" x14ac:dyDescent="0.3">
      <c r="K39" s="72" t="s">
        <v>302</v>
      </c>
    </row>
    <row r="40" spans="11:11" x14ac:dyDescent="0.3">
      <c r="K40" s="73" t="s">
        <v>303</v>
      </c>
    </row>
    <row r="41" spans="11:11" x14ac:dyDescent="0.3">
      <c r="K41" s="72" t="s">
        <v>304</v>
      </c>
    </row>
    <row r="42" spans="11:11" x14ac:dyDescent="0.3">
      <c r="K42" s="73" t="s">
        <v>305</v>
      </c>
    </row>
    <row r="43" spans="11:11" x14ac:dyDescent="0.3">
      <c r="K43" s="72" t="s">
        <v>306</v>
      </c>
    </row>
    <row r="44" spans="11:11" x14ac:dyDescent="0.3">
      <c r="K44" s="73" t="s">
        <v>307</v>
      </c>
    </row>
    <row r="45" spans="11:11" x14ac:dyDescent="0.3">
      <c r="K45" s="72" t="s">
        <v>308</v>
      </c>
    </row>
    <row r="46" spans="11:11" x14ac:dyDescent="0.3">
      <c r="K46" s="73" t="s">
        <v>309</v>
      </c>
    </row>
    <row r="47" spans="11:11" x14ac:dyDescent="0.3">
      <c r="K47" s="72" t="s">
        <v>310</v>
      </c>
    </row>
    <row r="48" spans="11:11" x14ac:dyDescent="0.3">
      <c r="K48" s="72" t="s">
        <v>311</v>
      </c>
    </row>
    <row r="49" spans="11:11" x14ac:dyDescent="0.3">
      <c r="K49" s="73" t="s">
        <v>312</v>
      </c>
    </row>
    <row r="50" spans="11:11" x14ac:dyDescent="0.3">
      <c r="K50" s="72" t="s">
        <v>313</v>
      </c>
    </row>
    <row r="51" spans="11:11" x14ac:dyDescent="0.3">
      <c r="K51" s="73" t="s">
        <v>314</v>
      </c>
    </row>
    <row r="52" spans="11:11" x14ac:dyDescent="0.3">
      <c r="K52" s="72" t="s">
        <v>315</v>
      </c>
    </row>
    <row r="53" spans="11:11" x14ac:dyDescent="0.3">
      <c r="K53" s="73" t="s">
        <v>316</v>
      </c>
    </row>
    <row r="54" spans="11:11" x14ac:dyDescent="0.3">
      <c r="K54" s="75" t="s">
        <v>317</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2025-12-29T19:11:02+00:00</DateandTime>
    <TaggedinAsana xmlns="ef933668-6965-47a8-8ce8-1d49a4b58b54">false</TaggedinAsana>
    <TaxCatchAll xmlns="812384cb-a50e-43db-9caf-5c3b6c9eb0f7" xsi:nil="true"/>
  </documentManagement>
</p:properties>
</file>

<file path=customXml/itemProps1.xml><?xml version="1.0" encoding="utf-8"?>
<ds:datastoreItem xmlns:ds="http://schemas.openxmlformats.org/officeDocument/2006/customXml" ds:itemID="{C8E81B67-A85C-4F03-BABD-0AB2AEC42475}"/>
</file>

<file path=customXml/itemProps2.xml><?xml version="1.0" encoding="utf-8"?>
<ds:datastoreItem xmlns:ds="http://schemas.openxmlformats.org/officeDocument/2006/customXml" ds:itemID="{DA082C18-6691-49A2-AAFA-1E1089D4EFC7}">
  <ds:schemaRefs>
    <ds:schemaRef ds:uri="http://schemas.microsoft.com/sharepoint/v3/contenttype/forms"/>
  </ds:schemaRefs>
</ds:datastoreItem>
</file>

<file path=customXml/itemProps3.xml><?xml version="1.0" encoding="utf-8"?>
<ds:datastoreItem xmlns:ds="http://schemas.openxmlformats.org/officeDocument/2006/customXml" ds:itemID="{954F72EF-4898-4EC6-8232-A68A5F08066F}">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Abuse &amp; Grievances</vt:lpstr>
      <vt:lpstr>Accidents &amp; Incidents</vt:lpstr>
      <vt:lpstr>Infection Prevention &amp; Control</vt:lpstr>
      <vt:lpstr>Skin Integrity &amp; Wounds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Meg McDaniel</cp:lastModifiedBy>
  <cp:revision/>
  <dcterms:created xsi:type="dcterms:W3CDTF">2025-03-14T05:17:32Z</dcterms:created>
  <dcterms:modified xsi:type="dcterms:W3CDTF">2025-12-29T19:04:11Z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