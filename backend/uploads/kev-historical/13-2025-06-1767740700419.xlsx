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mc:AlternateContent xmlns:mc="http://schemas.openxmlformats.org/markup-compatibility/2006">
    <mc:Choice Requires="x15">
      <x15ac:absPath xmlns:x15ac="http://schemas.microsoft.com/office/spreadsheetml/2010/11/ac" url="https://cascadiahcdirectory-my.sharepoint.com/personal/jordanmonson_cascadiahc_com/Documents/Documents/KEV Scorecards/"/>
    </mc:Choice>
  </mc:AlternateContent>
  <xr:revisionPtr revIDLastSave="212" documentId="8_{D9411BED-9727-4A5D-978D-0DB636C0030D}" xr6:coauthVersionLast="47" xr6:coauthVersionMax="47" xr10:uidLastSave="{EFFDE212-4169-42E5-BB71-892F6F095397}"/>
  <bookViews>
    <workbookView xWindow="-120" yWindow="-120" windowWidth="29040" windowHeight="15720"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<sst xmlns="http://schemas.openxmlformats.org/spreadsheetml/2006/main" count="461" uniqueCount="304">
  <si>
    <t>KEV Score Cards Review</t>
  </si>
  <si>
    <t>Facility Name:</t>
  </si>
  <si>
    <t>Brookfield</t>
  </si>
  <si>
    <t>Review Period:</t>
  </si>
  <si>
    <t>June 2025</t>
  </si>
  <si>
    <t>Date of Completion:</t>
  </si>
  <si>
    <t>Audit Completed By:</t>
  </si>
  <si>
    <t>Amy Abraham, RN/ Lisa NortonRN</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</si>
  <si>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</si>
  <si>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</si>
  <si>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</si>
  <si>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</si>
  <si>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</si>
  <si>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</si>
  <si>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</si>
  <si>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</si>
  <si>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</si>
  <si>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</si>
  <si>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</si>
  <si>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</si>
  <si>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</si>
  <si>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</si>
  <si>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</si>
  <si>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t>Lisa Norton</t>
  </si>
  <si>
    <r>
      <t xml:space="preserve">Key Element Validation:                 </t>
    </r>
    <r>
      <rPr>
        <b/>
        <i/>
        <sz val="14"/>
        <color rgb="FF000000"/>
        <rFont val="Arial Narrow"/>
        <family val="2"/>
      </rPr>
      <t>Abuse &amp; Grievances</t>
    </r>
  </si>
  <si>
    <t>Resident Name:</t>
  </si>
  <si>
    <t>n/a</t>
  </si>
  <si>
    <t>Resident Selection:</t>
  </si>
  <si>
    <t>Select One:</t>
  </si>
  <si>
    <t>Abuse Type:</t>
  </si>
  <si>
    <t>Incident Description</t>
  </si>
  <si>
    <t xml:space="preserve">no abuse </t>
  </si>
  <si>
    <t>6 grievances total</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</si>
  <si>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</si>
  <si>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</si>
  <si>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</si>
  <si>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</si>
  <si>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</si>
  <si>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</si>
  <si>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</si>
  <si>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N/A</t>
  </si>
  <si>
    <t>2) Comments:</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</si>
  <si>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</si>
  <si>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</si>
  <si>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</si>
  <si>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</si>
  <si>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</si>
  <si>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</si>
  <si>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</si>
  <si>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</si>
  <si>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</si>
  <si>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</si>
  <si>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</si>
  <si>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</si>
  <si>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</si>
  <si>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</si>
  <si>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</si>
  <si>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</si>
  <si>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</si>
  <si>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</si>
  <si>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</si>
  <si>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t>L. Norton</t>
  </si>
  <si>
    <r>
      <t xml:space="preserve">Key Element Validation:                  </t>
    </r>
    <r>
      <rPr>
        <b/>
        <i/>
        <sz val="14"/>
        <color rgb="FF000000"/>
        <rFont val="Arial Narrow"/>
        <family val="2"/>
      </rPr>
      <t>Accidents &amp; Incidents</t>
    </r>
  </si>
  <si>
    <t>Event Type:</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</si>
  <si>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</si>
  <si>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</si>
  <si>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</si>
  <si>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</si>
  <si>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</si>
  <si>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</si>
  <si>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</si>
  <si>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</si>
  <si>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</si>
  <si>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</si>
  <si>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</si>
  <si>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</si>
  <si>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</si>
  <si>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t>Amy Abraham/ Observation part- L. Norton</t>
  </si>
  <si>
    <r>
      <t xml:space="preserve">Key Element Validation:                           </t>
    </r>
    <r>
      <rPr>
        <b/>
        <i/>
        <sz val="14"/>
        <color rgb="FF000000"/>
        <rFont val="Arial Narrow"/>
        <family val="2"/>
      </rPr>
      <t>Infection Prevention &amp; Control</t>
    </r>
  </si>
  <si>
    <t>Richard Markegard</t>
  </si>
  <si>
    <t>Urshell Robinette</t>
  </si>
  <si>
    <t>David Contreras</t>
  </si>
  <si>
    <t>EBP</t>
  </si>
  <si>
    <t>Other</t>
  </si>
  <si>
    <t>Active Infection</t>
  </si>
  <si>
    <t>Precaution Type:</t>
  </si>
  <si>
    <t>Standard</t>
  </si>
  <si>
    <t>Item Description</t>
  </si>
  <si>
    <t>Chronic wounds</t>
  </si>
  <si>
    <t>General review</t>
  </si>
  <si>
    <t>Cellulitis with abo tx</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</si>
  <si>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</si>
  <si>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</si>
  <si>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</si>
  <si>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t>Annual TB screen due this month- did not see scheduled</t>
  </si>
  <si>
    <t>Did not see annual TB screen completed in last year.</t>
  </si>
  <si>
    <t>Did not see TB  in the immunization tab. appears had CXR ordered but unable to locate CXR results.</t>
  </si>
  <si>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</si>
  <si>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Care plan not current for resolved PNA. EBP are not listed on orders or care plan for chronic open wounds.</t>
  </si>
  <si>
    <t xml:space="preserve">Cephaliexin for rt foot cellulitis- IP module is incomplete r/t infection details- if completed would do the tracking and trending. Does have infection eval done with the details. </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</si>
  <si>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</si>
  <si>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No active infection</t>
  </si>
  <si>
    <t>ABO time out is in process but was initiated 6/13. Review as of 6/19. Is currently listed in care plan as contact precautions r/t infection of foot but should also be on EBP for high contact activities.</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</si>
  <si>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</si>
  <si>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O2 order and prn neb order. Has not used neb tx in June- rec adding cleaning if uses or add to the prn order to clean when used.</t>
  </si>
  <si>
    <t>None ordered</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</si>
  <si>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</si>
  <si>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</si>
  <si>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</si>
  <si>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</si>
  <si>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</si>
  <si>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</si>
  <si>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</si>
  <si>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</si>
  <si>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</si>
  <si>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</si>
  <si>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</si>
  <si>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</si>
  <si>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</si>
  <si>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</si>
  <si>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</si>
  <si>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</si>
  <si>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</si>
  <si>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</si>
  <si>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</si>
  <si>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</si>
  <si>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</si>
  <si>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</si>
  <si>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</si>
  <si>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t>6/18/2025 - 6/19/25</t>
  </si>
  <si>
    <t>Amy Abraham</t>
  </si>
  <si>
    <r>
      <t xml:space="preserve">Key Element Validation: </t>
    </r>
    <r>
      <rPr>
        <b/>
        <i/>
        <sz val="14"/>
        <color rgb="FF000000"/>
        <rFont val="Arial Narrow"/>
        <family val="2"/>
      </rPr>
      <t>Skin Integrity &amp; Wounds</t>
    </r>
  </si>
  <si>
    <t>Urshel Robinett</t>
  </si>
  <si>
    <t>Admit with Wound</t>
  </si>
  <si>
    <t>In-House Acquisition</t>
  </si>
  <si>
    <t>Wound Status</t>
  </si>
  <si>
    <t>Improving</t>
  </si>
  <si>
    <t>New</t>
  </si>
  <si>
    <t>Has 11 active wounds in skin and wound</t>
  </si>
  <si>
    <t>Active wounds #5 IHA 2/23 and #6 IHA 4/13</t>
  </si>
  <si>
    <t>wounds 1 and 2</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</si>
  <si>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</si>
  <si>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</si>
  <si>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</si>
  <si>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t>Rsd with devices/splints without skin checks prior to occurrence. braces to leg.. Was added post injury.</t>
  </si>
  <si>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</si>
  <si>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</si>
  <si>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Unable to verify RCA completed as not done in PCC. for the 2/23. The 4/13 for wound #6 indicates root cause although there is not a corresponding intervention listed.</t>
  </si>
  <si>
    <t>Identified 6/13- investigation in progress - due 6/20.</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</si>
  <si>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</si>
  <si>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</si>
  <si>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Treatment order 6/13/25 does not match order given r/t collegen</t>
  </si>
  <si>
    <t>Need to clarify if leg wounds are still lactive- last eval was in April. Close out if no longer present.</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</si>
  <si>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</si>
  <si>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t>For toe bruise</t>
  </si>
  <si>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</si>
  <si>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t xml:space="preserve">Wound #5 is a bruise from trauma. Typically, would monitor this on the treatment record til resolved versus skin and wound. Recommend reviewing process of what wounds monitor in skin and wound and which type will track on TAR. Attached an example that could be reviewed /updated to facility preference.
wound #6 was last evaluated in April. Is this still an active wound? There is not an active order for this. If area is resolved, then would resolve the wound. </t>
  </si>
  <si>
    <t>wound eval done on new PI right foot but is not comprehensive. there is also an active wound of the scrotum from April that if resolved should close out.</t>
  </si>
  <si>
    <r>
      <rPr>
        <b/>
        <sz val="10"/>
        <color rgb="FF000000"/>
        <rFont val="Arial Narrow"/>
        <family val="2"/>
      </rPr>
      <t xml:space="preserve">9) </t>
    </r>
    <r>
      <rPr>
        <sz val="10"/>
        <color rgb="FF000000"/>
        <rFont val="Arial Narrow"/>
        <family val="2"/>
      </rPr>
      <t>Is the resident and/or resident representative aware of current wound status?</t>
    </r>
  </si>
  <si>
    <t>Yes for both</t>
  </si>
  <si>
    <r>
      <t xml:space="preserve">10) </t>
    </r>
    <r>
      <rPr>
        <sz val="10"/>
        <color rgb="FF000000"/>
        <rFont val="Arial Narrow"/>
        <family val="2"/>
      </rPr>
      <t xml:space="preserve"> Was physician notified of new wound or change in wound status?</t>
    </r>
  </si>
  <si>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</si>
  <si>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t>wound #5 is a bruise and #6 is to be verified as last reviewed in April. No current tx. last NAR was in March. Due this month.</t>
  </si>
  <si>
    <t>Occurred 6/13- verify referred</t>
  </si>
  <si>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</si>
  <si>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skin care plan to be reviewed and updated for current skin issues and interventions. Has historical information listed still active.</t>
  </si>
  <si>
    <t>Care plan will need reviewed and updated which is pending with open risk management. To be closed 6/20.</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</si>
  <si>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</si>
  <si>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Do not see evidence of this process</t>
  </si>
  <si>
    <t>Did not see evidence of this process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</si>
  <si>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</si>
  <si>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</si>
  <si>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</si>
  <si>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</si>
  <si>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</si>
  <si>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</si>
  <si>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</si>
  <si>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</si>
  <si>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</si>
  <si>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</si>
  <si>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</si>
  <si>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</si>
  <si>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</si>
  <si>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</si>
  <si>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</si>
  <si>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</si>
  <si>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</si>
  <si>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</si>
  <si>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</si>
  <si>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</si>
  <si>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</si>
  <si>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Fall</t>
  </si>
  <si>
    <t>Admit Last 30 Days</t>
  </si>
  <si>
    <t>Yes</t>
  </si>
  <si>
    <t>Near Miss</t>
  </si>
  <si>
    <t>Change of Condition</t>
  </si>
  <si>
    <t>No</t>
  </si>
  <si>
    <t>ER Visit</t>
  </si>
  <si>
    <t>Resident Altercation</t>
  </si>
  <si>
    <t>Facility Name</t>
  </si>
  <si>
    <t>Safety/Entrapment</t>
  </si>
  <si>
    <t>Medication Error</t>
  </si>
  <si>
    <t>Review Period</t>
  </si>
  <si>
    <t>Smoking</t>
  </si>
  <si>
    <t>Repeat Fall</t>
  </si>
  <si>
    <t>Alderwood Park</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</si>
  <si>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</si>
  <si>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</si>
  <si>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</si>
  <si>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</si>
  <si>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</si>
  <si>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</si>
  <si>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</si>
  <si>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</si>
  <si>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</si>
  <si>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</si>
  <si>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</si>
  <si>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</si>
  <si>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ALF</t>
  </si>
  <si>
    <t>Death</t>
  </si>
  <si>
    <t>May 2025</t>
  </si>
  <si>
    <t>Caldwell Care</t>
  </si>
  <si>
    <t>Deteriorating</t>
  </si>
  <si>
    <t>Home</t>
  </si>
  <si>
    <t>Emergent Transfer</t>
  </si>
  <si>
    <t>Canyon West</t>
  </si>
  <si>
    <t>Healed</t>
  </si>
  <si>
    <t>Hospital</t>
  </si>
  <si>
    <t>Planned Discharge</t>
  </si>
  <si>
    <t>July 2025</t>
  </si>
  <si>
    <t>Cascadia of Boise</t>
  </si>
  <si>
    <t>New Admit</t>
  </si>
  <si>
    <t>Mortuary</t>
  </si>
  <si>
    <t>August 2025</t>
  </si>
  <si>
    <t>Cascadia of Lewiston</t>
  </si>
  <si>
    <t>Non-Pressure</t>
  </si>
  <si>
    <t>IP Precaution Type</t>
  </si>
  <si>
    <t>September 2025</t>
  </si>
  <si>
    <t>Cascadia of Nampa</t>
  </si>
  <si>
    <t>No Current Wound</t>
  </si>
  <si>
    <t>Retirement</t>
  </si>
  <si>
    <t xml:space="preserve">October 2025 </t>
  </si>
  <si>
    <t>Cherry Ridge</t>
  </si>
  <si>
    <t>Stable</t>
  </si>
  <si>
    <t>Abuse Event Type</t>
  </si>
  <si>
    <t>SNF</t>
  </si>
  <si>
    <t>November 2025</t>
  </si>
  <si>
    <t>Clarkston</t>
  </si>
  <si>
    <t>Stalled</t>
  </si>
  <si>
    <t>Prevention</t>
  </si>
  <si>
    <t>December 2025</t>
  </si>
  <si>
    <t>Clearwater</t>
  </si>
  <si>
    <t>Exploitation</t>
  </si>
  <si>
    <t>IP Resident Selection</t>
  </si>
  <si>
    <t>Coeur d'Alene</t>
  </si>
  <si>
    <t>Abuse Resident Selection</t>
  </si>
  <si>
    <t>Mental</t>
  </si>
  <si>
    <t>TBP</t>
  </si>
  <si>
    <t>Colfax</t>
  </si>
  <si>
    <t>Misappropriation</t>
  </si>
  <si>
    <t>Colville</t>
  </si>
  <si>
    <t>Grievances</t>
  </si>
  <si>
    <t>Neglect</t>
  </si>
  <si>
    <t>Colonized</t>
  </si>
  <si>
    <t>Creekside</t>
  </si>
  <si>
    <t>Physical</t>
  </si>
  <si>
    <t>Curry Village (ALF)</t>
  </si>
  <si>
    <t>Progress Note</t>
  </si>
  <si>
    <t>Res-to-Res</t>
  </si>
  <si>
    <t>New Admission</t>
  </si>
  <si>
    <t>Curry Village (SNF)</t>
  </si>
  <si>
    <t>Risk Management</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</si>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</sst>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5">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0" fontId="1" fillId="0" borderId="1" xfId="0" applyFont="1" applyBorder="1" applyAlignment="1" applyProtection="1">
      <alignment horizontal="center"/>
      <protection locked="0"/>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14" fontId="1" fillId="0" borderId="1" xfId="0" applyNumberFormat="1" applyFont="1" applyBorder="1" applyAlignment="1" applyProtection="1">
      <alignment horizontal="center"/>
      <protection locked="0"/>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14" fontId="15" fillId="7" borderId="13" xfId="0" applyNumberFormat="1" applyFont="1" applyFill="1" applyBorder="1" applyAlignment="1" applyProtection="1">
      <alignment horizontal="center" vertical="center"/>
      <protection locked="0"/>
    </xf>
    <xf numFmtId="0" fontId="4" fillId="0" borderId="0" xfId="0" applyFont="1" applyAlignment="1"/>
    <xf numFmtId="0" fontId="1" fillId="0" borderId="4" xfId="0" applyFont="1" applyBorder="1" applyAlignment="1"/>
    <xf numFmtId="0" fontId="1" fillId="0" borderId="0" xfId="0" applyFont="1" applyAlignment="1"/>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tabSelected="1" workbookViewId="0">
      <selection activeCell="E3" sqref="E3"/>
    </sheetView>
  </sheetViews>
  <sheetFormatPr defaultRowHeight="15"/>
  <cols>
    <col min="2" max="2" width="23.28515625" customWidth="1"/>
    <col min="3" max="3" width="22.7109375" customWidth="1"/>
    <col min="4" max="4" width="22" customWidth="1"/>
    <col min="5" max="5" width="23.28515625" customWidth="1"/>
  </cols>
  <sheetData>
    <row r="1" spans="1:7" ht="33.75">
      <c r="A1" s="105" t="s">
        <v>0</v>
      </c>
      <c r="B1" s="105"/>
      <c r="C1" s="105"/>
      <c r="D1" s="105"/>
      <c r="E1" s="105"/>
      <c r="F1" s="105"/>
      <c r="G1" s="105"/>
    </row>
    <row r="2" spans="1:7">
      <c r="A2" s="26"/>
      <c r="B2" s="27" t="s">
        <v>1</v>
      </c>
      <c r="C2" s="106" t="s">
        <v>2</v>
      </c>
      <c r="D2" s="107"/>
      <c r="E2" s="28"/>
      <c r="F2" s="108"/>
      <c r="G2" s="108"/>
    </row>
    <row r="3" spans="1:7">
      <c r="A3" s="26"/>
      <c r="B3" s="29" t="s">
        <v>3</v>
      </c>
      <c r="C3" s="106" t="s">
        <v>4</v>
      </c>
      <c r="D3" s="107"/>
      <c r="E3" s="30"/>
      <c r="F3" s="108"/>
      <c r="G3" s="108"/>
    </row>
    <row r="4" spans="1:7">
      <c r="A4" s="31"/>
      <c r="B4" s="29" t="s">
        <v>5</v>
      </c>
      <c r="C4" s="181">
        <v>45835</v>
      </c>
      <c r="D4" s="107"/>
      <c r="E4" s="30"/>
      <c r="F4" s="108"/>
      <c r="G4" s="108"/>
    </row>
    <row r="5" spans="1:7">
      <c r="A5" s="31"/>
      <c r="B5" s="29" t="s">
        <v>6</v>
      </c>
      <c r="C5" s="106" t="s">
        <v>7</v>
      </c>
      <c r="D5" s="107"/>
      <c r="E5" s="30"/>
      <c r="F5" s="108"/>
      <c r="G5" s="108"/>
    </row>
    <row r="6" spans="1:7">
      <c r="A6" s="32"/>
      <c r="B6" s="33"/>
      <c r="C6" s="34"/>
      <c r="D6" s="35"/>
      <c r="E6" s="34"/>
      <c r="F6" s="108"/>
      <c r="G6" s="108"/>
    </row>
    <row r="7" spans="1:7">
      <c r="A7" s="36"/>
      <c r="B7" s="37" t="s">
        <v>8</v>
      </c>
      <c r="C7" s="38" t="s">
        <v>9</v>
      </c>
      <c r="D7" s="39" t="s">
        <v>10</v>
      </c>
      <c r="E7" s="40" t="s">
        <v>11</v>
      </c>
      <c r="F7" s="108"/>
      <c r="G7" s="108"/>
    </row>
    <row r="8" spans="1:7">
      <c r="A8" s="41"/>
      <c r="B8" s="42" t="s">
        <v>12</v>
      </c>
      <c r="C8" s="43">
        <f>'Abuse &amp; Grievances'!E19</f>
        <v>50</v>
      </c>
      <c r="D8" s="44">
        <f>'Abuse &amp; Grievances'!I19</f>
        <v>44</v>
      </c>
      <c r="E8" s="45">
        <f>D8/C8</f>
        <v>0.88</v>
      </c>
      <c r="F8" s="108"/>
      <c r="G8" s="108"/>
    </row>
    <row r="9" spans="1:7">
      <c r="A9" s="41"/>
      <c r="B9" s="46" t="s">
        <v>13</v>
      </c>
      <c r="C9" s="47">
        <f>'Accidents &amp; Incidents'!E21</f>
        <v>60</v>
      </c>
      <c r="D9" s="48">
        <f>'Accidents &amp; Incidents'!I21</f>
        <v>57</v>
      </c>
      <c r="E9" s="49">
        <f t="shared" ref="E9:E12" si="0">D9/C9</f>
        <v>0.95</v>
      </c>
      <c r="F9" s="108"/>
      <c r="G9" s="108"/>
    </row>
    <row r="10" spans="1:7" ht="30">
      <c r="A10" s="41"/>
      <c r="B10" s="42" t="s">
        <v>14</v>
      </c>
      <c r="C10" s="79">
        <f>'Infection Prevention &amp; Control'!E34</f>
        <v>130</v>
      </c>
      <c r="D10" s="44">
        <f>'Infection Prevention &amp; Control'!I34</f>
        <v>107</v>
      </c>
      <c r="E10" s="45">
        <f t="shared" si="0"/>
        <v>0.82307692307692304</v>
      </c>
      <c r="F10" s="108"/>
      <c r="G10" s="108"/>
    </row>
    <row r="11" spans="1:7">
      <c r="A11" s="41"/>
      <c r="B11" s="50" t="s">
        <v>15</v>
      </c>
      <c r="C11" s="51">
        <f>'Skin Integrity &amp; Wounds'!E35</f>
        <v>170</v>
      </c>
      <c r="D11" s="52">
        <f>'Skin Integrity &amp; Wounds'!I35</f>
        <v>130</v>
      </c>
      <c r="E11" s="49">
        <f t="shared" si="0"/>
        <v>0.76470588235294112</v>
      </c>
      <c r="F11" s="108"/>
      <c r="G11" s="108"/>
    </row>
    <row r="12" spans="1:7" ht="30">
      <c r="A12" s="36"/>
      <c r="B12" s="53" t="s">
        <v>16</v>
      </c>
      <c r="C12" s="54">
        <f>SUM(C8:C11)</f>
        <v>410</v>
      </c>
      <c r="D12" s="77">
        <f>SUM(D8:D11)</f>
        <v>338</v>
      </c>
      <c r="E12" s="78">
        <f t="shared" si="0"/>
        <v>0.82439024390243898</v>
      </c>
      <c r="F12" s="108"/>
      <c r="G12" s="108"/>
    </row>
    <row r="13" spans="1:7">
      <c r="A13" s="36"/>
      <c r="B13" s="55" t="s">
        <v>17</v>
      </c>
      <c r="C13" s="56">
        <f>E12</f>
        <v>0.82439024390243898</v>
      </c>
      <c r="D13" s="30"/>
      <c r="E13" s="30"/>
      <c r="F13" s="108"/>
      <c r="G13" s="108"/>
    </row>
    <row r="14" spans="1:7">
      <c r="A14" s="36"/>
      <c r="B14" s="57"/>
      <c r="C14" s="58"/>
      <c r="D14" s="30"/>
      <c r="E14" s="30"/>
      <c r="F14" s="108"/>
      <c r="G14" s="108"/>
    </row>
    <row r="15" spans="1:7">
      <c r="A15" s="36"/>
      <c r="B15" s="57"/>
      <c r="C15" s="58"/>
      <c r="D15" s="30"/>
      <c r="E15" s="30"/>
      <c r="F15" s="108"/>
      <c r="G15" s="108"/>
    </row>
    <row r="16" spans="1:7" ht="57" customHeight="1">
      <c r="A16" s="109" t="s">
        <v>18</v>
      </c>
      <c r="B16" s="109"/>
      <c r="C16" s="109"/>
      <c r="D16" s="109"/>
      <c r="E16" s="109"/>
      <c r="F16" s="109"/>
      <c r="G16" s="109"/>
    </row>
    <row r="17" spans="1:7" ht="18.75">
      <c r="A17" s="110" t="s">
        <v>19</v>
      </c>
      <c r="B17" s="110"/>
      <c r="C17" s="110"/>
      <c r="D17" s="110"/>
      <c r="E17" s="110"/>
      <c r="F17" s="110"/>
      <c r="G17" s="110"/>
    </row>
    <row r="18" spans="1:7">
      <c r="A18" s="111" t="s">
        <v>20</v>
      </c>
      <c r="B18" s="111"/>
      <c r="C18" s="111"/>
      <c r="D18" s="111"/>
      <c r="E18" s="111"/>
      <c r="F18" s="111"/>
      <c r="G18" s="111"/>
    </row>
    <row r="19" spans="1:7" ht="25.5">
      <c r="A19" s="59"/>
      <c r="B19" s="60" t="s">
        <v>12</v>
      </c>
      <c r="C19" s="60" t="s">
        <v>13</v>
      </c>
      <c r="D19" s="60" t="s">
        <v>14</v>
      </c>
      <c r="E19" s="112" t="s">
        <v>15</v>
      </c>
      <c r="F19" s="113"/>
      <c r="G19" s="60" t="s">
        <v>17</v>
      </c>
    </row>
    <row r="20" spans="1:7">
      <c r="A20" s="61">
        <v>45682</v>
      </c>
      <c r="B20" s="80"/>
      <c r="C20" s="81"/>
      <c r="D20" s="81"/>
      <c r="E20" s="101"/>
      <c r="F20" s="102"/>
      <c r="G20" s="82"/>
    </row>
    <row r="21" spans="1:7">
      <c r="A21" s="62">
        <v>45713</v>
      </c>
      <c r="B21" s="83"/>
      <c r="C21" s="84"/>
      <c r="D21" s="84"/>
      <c r="E21" s="103"/>
      <c r="F21" s="104"/>
      <c r="G21" s="85"/>
    </row>
    <row r="22" spans="1:7">
      <c r="A22" s="61">
        <v>45741</v>
      </c>
      <c r="B22" s="80"/>
      <c r="C22" s="81"/>
      <c r="D22" s="81"/>
      <c r="E22" s="101"/>
      <c r="F22" s="102"/>
      <c r="G22" s="82"/>
    </row>
    <row r="23" spans="1:7">
      <c r="A23" s="62">
        <v>45772</v>
      </c>
      <c r="B23" s="84"/>
      <c r="C23" s="84"/>
      <c r="D23" s="84"/>
      <c r="E23" s="103"/>
      <c r="F23" s="104"/>
      <c r="G23" s="85"/>
    </row>
    <row r="24" spans="1:7">
      <c r="A24" s="61">
        <v>45802</v>
      </c>
      <c r="B24" s="81"/>
      <c r="C24" s="81"/>
      <c r="D24" s="81"/>
      <c r="E24" s="101"/>
      <c r="F24" s="102"/>
      <c r="G24" s="82"/>
    </row>
    <row r="25" spans="1:7">
      <c r="A25" s="62">
        <v>45833</v>
      </c>
      <c r="B25" s="84">
        <v>88</v>
      </c>
      <c r="C25" s="84">
        <v>95</v>
      </c>
      <c r="D25" s="84">
        <v>82.31</v>
      </c>
      <c r="E25" s="103">
        <v>76.47</v>
      </c>
      <c r="F25" s="104"/>
      <c r="G25" s="85">
        <v>82.44</v>
      </c>
    </row>
    <row r="26" spans="1:7">
      <c r="A26" s="61">
        <v>45863</v>
      </c>
      <c r="B26" s="81"/>
      <c r="C26" s="81"/>
      <c r="D26" s="81"/>
      <c r="E26" s="101"/>
      <c r="F26" s="102"/>
      <c r="G26" s="82"/>
    </row>
    <row r="27" spans="1:7">
      <c r="A27" s="62">
        <v>45894</v>
      </c>
      <c r="B27" s="84"/>
      <c r="C27" s="84"/>
      <c r="D27" s="84"/>
      <c r="E27" s="103"/>
      <c r="F27" s="104"/>
      <c r="G27" s="85"/>
    </row>
    <row r="28" spans="1:7">
      <c r="A28" s="61">
        <v>45925</v>
      </c>
      <c r="B28" s="81"/>
      <c r="C28" s="81"/>
      <c r="D28" s="81"/>
      <c r="E28" s="101"/>
      <c r="F28" s="102"/>
      <c r="G28" s="82"/>
    </row>
    <row r="29" spans="1:7">
      <c r="A29" s="62">
        <v>45955</v>
      </c>
      <c r="B29" s="84"/>
      <c r="C29" s="84"/>
      <c r="D29" s="84"/>
      <c r="E29" s="103"/>
      <c r="F29" s="104"/>
      <c r="G29" s="85"/>
    </row>
    <row r="30" spans="1:7">
      <c r="A30" s="61">
        <v>45986</v>
      </c>
      <c r="B30" s="81"/>
      <c r="C30" s="81"/>
      <c r="D30" s="81"/>
      <c r="E30" s="101"/>
      <c r="F30" s="102"/>
      <c r="G30" s="82"/>
    </row>
    <row r="31" spans="1:7">
      <c r="A31" s="62">
        <v>46016</v>
      </c>
      <c r="B31" s="84"/>
      <c r="C31" s="84"/>
      <c r="D31" s="84"/>
      <c r="E31" s="103"/>
      <c r="F31" s="104"/>
      <c r="G31" s="85"/>
    </row>
  </sheetData>
  <sheetProtection algorithmName="SHA-512" hashValue="hZBAR4NvURqN8tZsIUxYA/rTg9hRS0D9o0ooMFDrwy4N27eHZKwVAhOrFHQoqBHThohSiTnF7aeDbiZ3zl9w4A==" saltValue="0MYaZUznlQD2k9w5z2gJ/w==" spinCount="100000" sheet="1" objects="1" scenarios="1"/>
  <mergeCells count="22">
    <mergeCell ref="E21:F21"/>
    <mergeCell ref="A1:G1"/>
    <mergeCell ref="C2:D2"/>
    <mergeCell ref="F2:G15"/>
    <mergeCell ref="C3:D3"/>
    <mergeCell ref="C4:D4"/>
    <mergeCell ref="C5:D5"/>
    <mergeCell ref="A16:G16"/>
    <mergeCell ref="A17:G17"/>
    <mergeCell ref="A18:G18"/>
    <mergeCell ref="E19:F19"/>
    <mergeCell ref="E20:F20"/>
    <mergeCell ref="E28:F28"/>
    <mergeCell ref="E29:F29"/>
    <mergeCell ref="E30:F30"/>
    <mergeCell ref="E31:F31"/>
    <mergeCell ref="E22:F22"/>
    <mergeCell ref="E23:F23"/>
    <mergeCell ref="E24:F24"/>
    <mergeCell ref="E25:F25"/>
    <mergeCell ref="E26:F26"/>
    <mergeCell ref="E27:F2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zoomScale="130" zoomScaleNormal="130" workbookViewId="0">
      <selection activeCell="H1" sqref="H1"/>
    </sheetView>
  </sheetViews>
  <sheetFormatPr defaultRowHeight="15"/>
  <cols>
    <col min="4" max="4" width="13.140625" customWidth="1"/>
    <col min="5" max="5" width="9.7109375" customWidth="1"/>
    <col min="6" max="8" width="29.7109375" customWidth="1"/>
  </cols>
  <sheetData>
    <row r="1" spans="1:14" ht="16.5">
      <c r="A1" s="2" t="s">
        <v>21</v>
      </c>
      <c r="B1" s="147"/>
      <c r="C1" s="147"/>
      <c r="D1" s="147"/>
      <c r="E1" s="147"/>
      <c r="F1" s="2"/>
      <c r="G1" s="4" t="s">
        <v>22</v>
      </c>
      <c r="H1" s="95" t="s">
        <v>23</v>
      </c>
      <c r="I1" s="5"/>
      <c r="J1" s="2"/>
      <c r="K1" s="2"/>
      <c r="L1" s="2"/>
      <c r="M1" s="2"/>
      <c r="N1" s="2"/>
    </row>
    <row r="2" spans="1:14" ht="16.5">
      <c r="A2" s="182"/>
      <c r="B2" s="182"/>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7.75">
      <c r="A4" s="148" t="s">
        <v>24</v>
      </c>
      <c r="B4" s="149"/>
      <c r="C4" s="149"/>
      <c r="D4" s="150"/>
      <c r="E4" s="8" t="s">
        <v>25</v>
      </c>
      <c r="F4" s="86" t="s">
        <v>26</v>
      </c>
      <c r="G4" s="87" t="s">
        <v>26</v>
      </c>
      <c r="H4" s="88" t="s">
        <v>26</v>
      </c>
      <c r="I4" s="5"/>
      <c r="J4" s="10"/>
      <c r="K4" s="2"/>
      <c r="L4" s="2"/>
      <c r="M4" s="2"/>
      <c r="N4" s="2"/>
    </row>
    <row r="5" spans="1:14" ht="25.5">
      <c r="A5" s="151"/>
      <c r="B5" s="152"/>
      <c r="C5" s="152"/>
      <c r="D5" s="153"/>
      <c r="E5" s="9" t="s">
        <v>27</v>
      </c>
      <c r="F5" s="94" t="s">
        <v>28</v>
      </c>
      <c r="G5" s="94" t="s">
        <v>28</v>
      </c>
      <c r="H5" s="94" t="s">
        <v>28</v>
      </c>
      <c r="I5" s="5"/>
      <c r="J5" s="10"/>
      <c r="K5" s="2"/>
      <c r="L5" s="2"/>
      <c r="M5" s="2"/>
      <c r="N5" s="2"/>
    </row>
    <row r="6" spans="1:14" ht="25.5">
      <c r="A6" s="151"/>
      <c r="B6" s="152"/>
      <c r="C6" s="152"/>
      <c r="D6" s="153"/>
      <c r="E6" s="14" t="s">
        <v>29</v>
      </c>
      <c r="F6" s="94" t="s">
        <v>28</v>
      </c>
      <c r="G6" s="94" t="s">
        <v>28</v>
      </c>
      <c r="H6" s="94" t="s">
        <v>28</v>
      </c>
      <c r="I6" s="13"/>
      <c r="J6" s="12"/>
      <c r="K6" s="12"/>
      <c r="L6" s="12"/>
      <c r="M6" s="12"/>
      <c r="N6" s="12"/>
    </row>
    <row r="7" spans="1:14" ht="25.5">
      <c r="A7" s="154"/>
      <c r="B7" s="155"/>
      <c r="C7" s="155"/>
      <c r="D7" s="156"/>
      <c r="E7" s="14" t="s">
        <v>30</v>
      </c>
      <c r="F7" s="89" t="s">
        <v>31</v>
      </c>
      <c r="G7" s="89" t="s">
        <v>32</v>
      </c>
      <c r="H7" s="89"/>
      <c r="I7" s="13"/>
      <c r="J7" s="12"/>
      <c r="K7" s="12"/>
      <c r="L7" s="12"/>
      <c r="M7" s="12"/>
      <c r="N7" s="12"/>
    </row>
    <row r="8" spans="1:14" ht="78.599999999999994" customHeight="1">
      <c r="A8" s="157" t="s">
        <v>33</v>
      </c>
      <c r="B8" s="158"/>
      <c r="C8" s="158"/>
      <c r="D8" s="159"/>
      <c r="E8" s="16" t="s">
        <v>34</v>
      </c>
      <c r="F8" s="157" t="s">
        <v>35</v>
      </c>
      <c r="G8" s="158"/>
      <c r="H8" s="159"/>
      <c r="I8" s="16" t="s">
        <v>36</v>
      </c>
      <c r="J8" s="17"/>
      <c r="K8" s="17"/>
      <c r="L8" s="18"/>
      <c r="M8" s="18"/>
      <c r="N8" s="18"/>
    </row>
    <row r="9" spans="1:14" ht="78.599999999999994" customHeight="1">
      <c r="A9" s="122" t="s">
        <v>37</v>
      </c>
      <c r="B9" s="123"/>
      <c r="C9" s="123"/>
      <c r="D9" s="124"/>
      <c r="E9" s="15">
        <v>10</v>
      </c>
      <c r="F9" s="76">
        <v>4</v>
      </c>
      <c r="G9" s="76">
        <v>3</v>
      </c>
      <c r="H9" s="76">
        <v>3</v>
      </c>
      <c r="I9" s="125">
        <f>IF(F9="N/A",4,F9)+IF(G9="N/A",3,G9)+IF(H9="N/A",3,H9)</f>
        <v>10</v>
      </c>
      <c r="J9" s="10"/>
      <c r="K9" s="6"/>
      <c r="L9" s="6"/>
      <c r="M9" s="6"/>
      <c r="N9" s="6"/>
    </row>
    <row r="10" spans="1:14" ht="18">
      <c r="A10" s="127" t="s">
        <v>38</v>
      </c>
      <c r="B10" s="128"/>
      <c r="C10" s="128"/>
      <c r="D10" s="128"/>
      <c r="E10" s="129"/>
      <c r="F10" s="90"/>
      <c r="G10" s="90"/>
      <c r="H10" s="90"/>
      <c r="I10" s="126"/>
      <c r="J10" s="10"/>
      <c r="K10" s="6"/>
      <c r="L10" s="6"/>
      <c r="M10" s="6"/>
      <c r="N10" s="6"/>
    </row>
    <row r="11" spans="1:14" ht="62.45" customHeight="1">
      <c r="A11" s="122" t="s">
        <v>39</v>
      </c>
      <c r="B11" s="123"/>
      <c r="C11" s="123"/>
      <c r="D11" s="124"/>
      <c r="E11" s="19">
        <v>10</v>
      </c>
      <c r="F11" s="76">
        <v>10</v>
      </c>
      <c r="G11" s="11" t="s">
        <v>40</v>
      </c>
      <c r="H11" s="11" t="s">
        <v>40</v>
      </c>
      <c r="I11" s="125">
        <f>IF(F11="N/A",10,F11)</f>
        <v>10</v>
      </c>
      <c r="J11" s="1"/>
      <c r="K11" s="6"/>
      <c r="L11" s="6"/>
      <c r="M11" s="6"/>
      <c r="N11" s="6"/>
    </row>
    <row r="12" spans="1:14" ht="18">
      <c r="A12" s="127" t="s">
        <v>41</v>
      </c>
      <c r="B12" s="128"/>
      <c r="C12" s="128"/>
      <c r="D12" s="128"/>
      <c r="E12" s="129"/>
      <c r="F12" s="90"/>
      <c r="G12" s="90"/>
      <c r="H12" s="90"/>
      <c r="I12" s="126"/>
      <c r="J12" s="1"/>
      <c r="K12" s="6"/>
      <c r="L12" s="6"/>
      <c r="M12" s="6"/>
      <c r="N12" s="6"/>
    </row>
    <row r="13" spans="1:14" ht="168" customHeight="1">
      <c r="A13" s="122" t="s">
        <v>42</v>
      </c>
      <c r="B13" s="123"/>
      <c r="C13" s="123"/>
      <c r="D13" s="124"/>
      <c r="E13" s="19">
        <v>10</v>
      </c>
      <c r="F13" s="76">
        <v>4</v>
      </c>
      <c r="G13" s="76">
        <v>3</v>
      </c>
      <c r="H13" s="76">
        <v>0</v>
      </c>
      <c r="I13" s="125">
        <f>IF(F13="N/A",4,F13)+IF(G13="N/A",3,G13)+IF(H13="N/A",3,H13)</f>
        <v>7</v>
      </c>
      <c r="J13" s="1"/>
      <c r="K13" s="1"/>
      <c r="L13" s="2"/>
      <c r="M13" s="2"/>
      <c r="N13" s="2"/>
    </row>
    <row r="14" spans="1:14" ht="16.5">
      <c r="A14" s="127" t="s">
        <v>43</v>
      </c>
      <c r="B14" s="128"/>
      <c r="C14" s="128"/>
      <c r="D14" s="128"/>
      <c r="E14" s="129"/>
      <c r="F14" s="90"/>
      <c r="G14" s="90"/>
      <c r="H14" s="90"/>
      <c r="I14" s="126"/>
      <c r="J14" s="1"/>
      <c r="K14" s="1"/>
      <c r="L14" s="2"/>
      <c r="M14" s="2"/>
      <c r="N14" s="2"/>
    </row>
    <row r="15" spans="1:14" ht="95.45" customHeight="1">
      <c r="A15" s="122" t="s">
        <v>44</v>
      </c>
      <c r="B15" s="123"/>
      <c r="C15" s="123"/>
      <c r="D15" s="124"/>
      <c r="E15" s="19">
        <v>10</v>
      </c>
      <c r="F15" s="76">
        <v>4</v>
      </c>
      <c r="G15" s="76">
        <v>3</v>
      </c>
      <c r="H15" s="76">
        <v>0</v>
      </c>
      <c r="I15" s="125">
        <f>IF(F15="N/A",4,F15)+IF(G15="N/A",3,G15)+IF(H15="N/A",3,H15)</f>
        <v>7</v>
      </c>
      <c r="J15" s="1"/>
      <c r="K15" s="1"/>
      <c r="L15" s="2"/>
      <c r="M15" s="2"/>
      <c r="N15" s="2"/>
    </row>
    <row r="16" spans="1:14" ht="16.5">
      <c r="A16" s="127" t="s">
        <v>45</v>
      </c>
      <c r="B16" s="128"/>
      <c r="C16" s="128"/>
      <c r="D16" s="128"/>
      <c r="E16" s="129"/>
      <c r="F16" s="90"/>
      <c r="G16" s="90"/>
      <c r="H16" s="90"/>
      <c r="I16" s="126"/>
      <c r="J16" s="1"/>
      <c r="K16" s="1"/>
      <c r="L16" s="2"/>
      <c r="M16" s="2"/>
      <c r="N16" s="2"/>
    </row>
    <row r="17" spans="1:14" ht="33" customHeight="1">
      <c r="A17" s="122" t="s">
        <v>46</v>
      </c>
      <c r="B17" s="123"/>
      <c r="C17" s="123"/>
      <c r="D17" s="124"/>
      <c r="E17" s="21">
        <v>10</v>
      </c>
      <c r="F17" s="76">
        <v>4</v>
      </c>
      <c r="G17" s="76">
        <v>3</v>
      </c>
      <c r="H17" s="76">
        <v>3</v>
      </c>
      <c r="I17" s="125">
        <f>IF(F17="N/A",4,F17)+IF(G17="N/A",3,G17)+IF(H17="N/A",3,H17)</f>
        <v>10</v>
      </c>
      <c r="J17" s="1"/>
      <c r="K17" s="1"/>
      <c r="L17" s="2"/>
      <c r="M17" s="2"/>
      <c r="N17" s="2"/>
    </row>
    <row r="18" spans="1:14" ht="16.5">
      <c r="A18" s="127" t="s">
        <v>47</v>
      </c>
      <c r="B18" s="128"/>
      <c r="C18" s="128"/>
      <c r="D18" s="128"/>
      <c r="E18" s="129"/>
      <c r="F18" s="130"/>
      <c r="G18" s="131"/>
      <c r="H18" s="132"/>
      <c r="I18" s="126"/>
      <c r="J18" s="1"/>
      <c r="K18" s="1"/>
      <c r="L18" s="2"/>
      <c r="M18" s="2"/>
      <c r="N18" s="2"/>
    </row>
    <row r="19" spans="1:14" ht="16.5">
      <c r="A19" s="119" t="s">
        <v>48</v>
      </c>
      <c r="B19" s="120"/>
      <c r="C19" s="120"/>
      <c r="D19" s="121"/>
      <c r="E19" s="22">
        <f>E9+E11+E13+E15+E17</f>
        <v>50</v>
      </c>
      <c r="F19" s="2"/>
      <c r="G19" s="2"/>
      <c r="H19" s="23" t="s">
        <v>49</v>
      </c>
      <c r="I19" s="22">
        <f>SUM(I9:I18)</f>
        <v>44</v>
      </c>
      <c r="J19" s="1"/>
      <c r="K19" s="1"/>
      <c r="L19" s="2"/>
      <c r="M19" s="2"/>
      <c r="N19" s="2"/>
    </row>
    <row r="20" spans="1:14" ht="16.5">
      <c r="A20" s="4"/>
      <c r="B20" s="4"/>
      <c r="C20" s="4"/>
      <c r="D20" s="4"/>
      <c r="E20" s="5"/>
      <c r="F20" s="2"/>
      <c r="G20" s="2"/>
      <c r="H20" s="2"/>
      <c r="I20" s="5"/>
      <c r="J20" s="1"/>
      <c r="K20" s="1"/>
      <c r="L20" s="2"/>
      <c r="M20" s="2"/>
      <c r="N20" s="2"/>
    </row>
    <row r="21" spans="1:14" ht="16.5">
      <c r="A21" s="133" t="s">
        <v>50</v>
      </c>
      <c r="B21" s="133"/>
      <c r="C21" s="133"/>
      <c r="D21" s="133"/>
      <c r="E21" s="133"/>
      <c r="F21" s="133"/>
      <c r="G21" s="133"/>
      <c r="H21" s="133"/>
      <c r="I21" s="133"/>
      <c r="J21" s="1"/>
      <c r="K21" s="1"/>
      <c r="L21" s="2"/>
      <c r="M21" s="2"/>
      <c r="N21" s="2"/>
    </row>
    <row r="22" spans="1:14" ht="27">
      <c r="A22" s="7"/>
      <c r="B22" s="7"/>
      <c r="C22" s="7"/>
      <c r="D22" s="24" t="s">
        <v>51</v>
      </c>
      <c r="E22" s="134"/>
      <c r="F22" s="135"/>
      <c r="G22" s="91"/>
      <c r="H22" s="91"/>
      <c r="I22" s="136" t="s">
        <v>52</v>
      </c>
      <c r="J22" s="10"/>
      <c r="K22" s="1"/>
      <c r="L22" s="2"/>
      <c r="M22" s="2"/>
      <c r="N22" s="2"/>
    </row>
    <row r="23" spans="1:14" ht="18.75">
      <c r="A23" s="7"/>
      <c r="B23" s="7"/>
      <c r="C23" s="7"/>
      <c r="D23" s="25" t="s">
        <v>53</v>
      </c>
      <c r="E23" s="139"/>
      <c r="F23" s="140"/>
      <c r="G23" s="92"/>
      <c r="H23" s="92"/>
      <c r="I23" s="137"/>
      <c r="J23" s="10"/>
      <c r="K23" s="1"/>
      <c r="L23" s="2"/>
      <c r="M23" s="2"/>
      <c r="N23" s="2"/>
    </row>
    <row r="24" spans="1:14" ht="16.5">
      <c r="A24" s="141" t="s">
        <v>54</v>
      </c>
      <c r="B24" s="142"/>
      <c r="C24" s="142"/>
      <c r="D24" s="143"/>
      <c r="E24" s="144" t="s">
        <v>55</v>
      </c>
      <c r="F24" s="145"/>
      <c r="G24" s="145"/>
      <c r="H24" s="146"/>
      <c r="I24" s="138"/>
      <c r="J24" s="1"/>
      <c r="K24" s="1"/>
      <c r="L24" s="2"/>
      <c r="M24" s="2"/>
      <c r="N24" s="2"/>
    </row>
    <row r="25" spans="1:14" ht="25.9" customHeight="1">
      <c r="A25" s="114" t="s">
        <v>56</v>
      </c>
      <c r="B25" s="115"/>
      <c r="C25" s="115"/>
      <c r="D25" s="116"/>
      <c r="E25" s="117"/>
      <c r="F25" s="118"/>
      <c r="G25" s="93"/>
      <c r="H25" s="92"/>
      <c r="I25" s="94"/>
      <c r="J25" s="10"/>
      <c r="K25" s="2"/>
      <c r="L25" s="2"/>
      <c r="M25" s="2"/>
      <c r="N25" s="2"/>
    </row>
    <row r="26" spans="1:14" ht="30.6" customHeight="1">
      <c r="A26" s="114" t="s">
        <v>57</v>
      </c>
      <c r="B26" s="115"/>
      <c r="C26" s="115"/>
      <c r="D26" s="116"/>
      <c r="E26" s="117"/>
      <c r="F26" s="118"/>
      <c r="G26" s="93"/>
      <c r="H26" s="92"/>
      <c r="I26" s="94"/>
      <c r="J26" s="10"/>
      <c r="K26" s="2"/>
      <c r="L26" s="2"/>
      <c r="M26" s="2"/>
      <c r="N26" s="2"/>
    </row>
    <row r="27" spans="1:14" ht="21" customHeight="1">
      <c r="A27" s="114" t="s">
        <v>58</v>
      </c>
      <c r="B27" s="115"/>
      <c r="C27" s="115"/>
      <c r="D27" s="116"/>
      <c r="E27" s="117"/>
      <c r="F27" s="118"/>
      <c r="G27" s="93"/>
      <c r="H27" s="92"/>
      <c r="I27" s="94"/>
      <c r="J27" s="2"/>
      <c r="K27" s="2"/>
      <c r="L27" s="2"/>
      <c r="M27" s="2"/>
      <c r="N27" s="2"/>
    </row>
    <row r="28" spans="1:14" ht="75" customHeight="1">
      <c r="A28" s="114" t="s">
        <v>59</v>
      </c>
      <c r="B28" s="115"/>
      <c r="C28" s="115"/>
      <c r="D28" s="116"/>
      <c r="E28" s="117"/>
      <c r="F28" s="118"/>
      <c r="G28" s="93"/>
      <c r="H28" s="93"/>
      <c r="I28" s="94"/>
      <c r="J28" s="2"/>
      <c r="K28" s="2"/>
      <c r="L28" s="2"/>
      <c r="M28" s="2"/>
      <c r="N28" s="2"/>
    </row>
    <row r="29" spans="1:14" ht="30.6" customHeight="1">
      <c r="A29" s="114" t="s">
        <v>60</v>
      </c>
      <c r="B29" s="115"/>
      <c r="C29" s="115"/>
      <c r="D29" s="116"/>
      <c r="E29" s="117"/>
      <c r="F29" s="118"/>
      <c r="G29" s="93"/>
      <c r="H29" s="93"/>
      <c r="I29" s="94"/>
      <c r="J29" s="2"/>
      <c r="K29" s="2"/>
      <c r="L29" s="2"/>
      <c r="M29" s="2"/>
      <c r="N29" s="2"/>
    </row>
    <row r="30" spans="1:14" ht="16.5">
      <c r="A30" s="183"/>
      <c r="B30" s="183"/>
      <c r="C30" s="1"/>
      <c r="D30" s="1"/>
      <c r="E30" s="3"/>
      <c r="F30" s="1"/>
      <c r="G30" s="1"/>
      <c r="H30" s="1"/>
      <c r="I30" s="3"/>
      <c r="J30" s="2"/>
      <c r="K30" s="2"/>
      <c r="L30" s="2"/>
      <c r="M30" s="2"/>
      <c r="N30" s="2"/>
    </row>
    <row r="31" spans="1:14" ht="16.5">
      <c r="A31" s="184"/>
      <c r="B31" s="184"/>
      <c r="C31" s="1"/>
      <c r="D31" s="1"/>
      <c r="E31" s="3"/>
      <c r="F31" s="1"/>
      <c r="G31" s="1"/>
      <c r="H31" s="1"/>
      <c r="I31" s="3"/>
      <c r="J31" s="2"/>
      <c r="K31" s="2"/>
      <c r="L31" s="2"/>
      <c r="M31" s="2"/>
      <c r="N31" s="2"/>
    </row>
    <row r="32" spans="1:14" ht="16.5">
      <c r="A32" s="184"/>
      <c r="B32" s="184"/>
      <c r="C32" s="1"/>
      <c r="D32" s="1"/>
      <c r="E32" s="3"/>
      <c r="F32" s="1"/>
      <c r="G32" s="1"/>
      <c r="H32" s="1"/>
      <c r="I32" s="3"/>
      <c r="J32" s="2"/>
      <c r="K32" s="2"/>
      <c r="L32" s="2"/>
      <c r="M32" s="2"/>
      <c r="N32" s="2"/>
    </row>
    <row r="33" spans="1:14" ht="16.5">
      <c r="A33" s="184"/>
      <c r="B33" s="184"/>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B1:E1"/>
    <mergeCell ref="A2:B2"/>
    <mergeCell ref="A4:D7"/>
    <mergeCell ref="A8:D8"/>
    <mergeCell ref="F8:H8"/>
    <mergeCell ref="I9:I10"/>
    <mergeCell ref="A10:E10"/>
    <mergeCell ref="A11:D11"/>
    <mergeCell ref="I11:I12"/>
    <mergeCell ref="A12:E12"/>
    <mergeCell ref="A9:D9"/>
    <mergeCell ref="A13:D13"/>
    <mergeCell ref="I13:I14"/>
    <mergeCell ref="A14:E14"/>
    <mergeCell ref="A15:D15"/>
    <mergeCell ref="I15:I16"/>
    <mergeCell ref="A16:E16"/>
    <mergeCell ref="A25:D25"/>
    <mergeCell ref="E25:F25"/>
    <mergeCell ref="A19:D19"/>
    <mergeCell ref="A17:D17"/>
    <mergeCell ref="I17:I18"/>
    <mergeCell ref="A18:E18"/>
    <mergeCell ref="F18:H18"/>
    <mergeCell ref="A21:I21"/>
    <mergeCell ref="E22:F22"/>
    <mergeCell ref="I22:I24"/>
    <mergeCell ref="E23:F23"/>
    <mergeCell ref="A24:D24"/>
    <mergeCell ref="E24:H24"/>
    <mergeCell ref="A33:B33"/>
    <mergeCell ref="A26:D26"/>
    <mergeCell ref="E26:F26"/>
    <mergeCell ref="A27:D27"/>
    <mergeCell ref="E27:F27"/>
    <mergeCell ref="A28:D28"/>
    <mergeCell ref="E28:F28"/>
    <mergeCell ref="A29:D29"/>
    <mergeCell ref="E29:F29"/>
    <mergeCell ref="A30:B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workbookViewId="0">
      <selection activeCell="H1" sqref="H1"/>
    </sheetView>
  </sheetViews>
  <sheetFormatPr defaultRowHeight="15"/>
  <cols>
    <col min="4" max="4" width="12" customWidth="1"/>
    <col min="5" max="5" width="10.7109375" customWidth="1"/>
    <col min="6" max="8" width="29.7109375" customWidth="1"/>
  </cols>
  <sheetData>
    <row r="1" spans="1:14" ht="16.5">
      <c r="A1" s="2" t="s">
        <v>21</v>
      </c>
      <c r="B1" s="147"/>
      <c r="C1" s="147"/>
      <c r="D1" s="147"/>
      <c r="E1" s="147"/>
      <c r="F1" s="2"/>
      <c r="G1" s="4" t="s">
        <v>22</v>
      </c>
      <c r="H1" s="95" t="s">
        <v>61</v>
      </c>
      <c r="I1" s="5"/>
      <c r="J1" s="2"/>
      <c r="K1" s="2"/>
      <c r="L1" s="2"/>
      <c r="M1" s="2"/>
      <c r="N1" s="2"/>
    </row>
    <row r="2" spans="1:14" ht="16.5">
      <c r="A2" s="182"/>
      <c r="B2" s="182"/>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5.5">
      <c r="A4" s="148" t="s">
        <v>62</v>
      </c>
      <c r="B4" s="149"/>
      <c r="C4" s="149"/>
      <c r="D4" s="150"/>
      <c r="E4" s="8" t="s">
        <v>25</v>
      </c>
      <c r="F4" s="86"/>
      <c r="G4" s="87"/>
      <c r="H4" s="88"/>
      <c r="I4" s="5"/>
      <c r="J4" s="10"/>
      <c r="K4" s="2"/>
      <c r="L4" s="2"/>
      <c r="M4" s="2"/>
      <c r="N4" s="2"/>
    </row>
    <row r="5" spans="1:14" ht="25.5">
      <c r="A5" s="151"/>
      <c r="B5" s="152"/>
      <c r="C5" s="152"/>
      <c r="D5" s="153"/>
      <c r="E5" s="9" t="s">
        <v>27</v>
      </c>
      <c r="F5" s="94" t="s">
        <v>28</v>
      </c>
      <c r="G5" s="94" t="s">
        <v>28</v>
      </c>
      <c r="H5" s="94" t="s">
        <v>28</v>
      </c>
      <c r="I5" s="5"/>
      <c r="J5" s="10"/>
      <c r="K5" s="2"/>
      <c r="L5" s="2"/>
      <c r="M5" s="2"/>
      <c r="N5" s="2"/>
    </row>
    <row r="6" spans="1:14">
      <c r="A6" s="151"/>
      <c r="B6" s="152"/>
      <c r="C6" s="152"/>
      <c r="D6" s="153"/>
      <c r="E6" s="14" t="s">
        <v>63</v>
      </c>
      <c r="F6" s="94" t="s">
        <v>28</v>
      </c>
      <c r="G6" s="94" t="s">
        <v>28</v>
      </c>
      <c r="H6" s="94" t="s">
        <v>28</v>
      </c>
      <c r="I6" s="13"/>
      <c r="J6" s="12"/>
      <c r="K6" s="12"/>
      <c r="L6" s="12"/>
      <c r="M6" s="12"/>
      <c r="N6" s="12"/>
    </row>
    <row r="7" spans="1:14" ht="25.5">
      <c r="A7" s="154"/>
      <c r="B7" s="155"/>
      <c r="C7" s="155"/>
      <c r="D7" s="156"/>
      <c r="E7" s="14" t="s">
        <v>30</v>
      </c>
      <c r="F7" s="89"/>
      <c r="G7" s="89"/>
      <c r="H7" s="89"/>
      <c r="I7" s="13"/>
      <c r="J7" s="12"/>
      <c r="K7" s="12"/>
      <c r="L7" s="12"/>
      <c r="M7" s="12"/>
      <c r="N7" s="12"/>
    </row>
    <row r="8" spans="1:14" ht="78.599999999999994" customHeight="1">
      <c r="A8" s="157" t="s">
        <v>33</v>
      </c>
      <c r="B8" s="158"/>
      <c r="C8" s="158"/>
      <c r="D8" s="159"/>
      <c r="E8" s="16" t="s">
        <v>34</v>
      </c>
      <c r="F8" s="157" t="s">
        <v>35</v>
      </c>
      <c r="G8" s="158"/>
      <c r="H8" s="159"/>
      <c r="I8" s="16" t="s">
        <v>36</v>
      </c>
      <c r="J8" s="17"/>
      <c r="K8" s="17"/>
      <c r="L8" s="18"/>
      <c r="M8" s="18"/>
      <c r="N8" s="18"/>
    </row>
    <row r="9" spans="1:14" ht="70.5" customHeight="1">
      <c r="A9" s="122" t="s">
        <v>64</v>
      </c>
      <c r="B9" s="123"/>
      <c r="C9" s="123"/>
      <c r="D9" s="124"/>
      <c r="E9" s="15">
        <v>10</v>
      </c>
      <c r="F9" s="76">
        <v>4</v>
      </c>
      <c r="G9" s="76">
        <v>3</v>
      </c>
      <c r="H9" s="76">
        <v>0</v>
      </c>
      <c r="I9" s="125">
        <f>IF(F9="N/A",4,F9)+IF(G9="N/A",3,G9)+IF(H9="N/A",3,H9)</f>
        <v>7</v>
      </c>
      <c r="J9" s="10"/>
      <c r="K9" s="6"/>
      <c r="L9" s="6"/>
      <c r="M9" s="6"/>
      <c r="N9" s="6"/>
    </row>
    <row r="10" spans="1:14" ht="18">
      <c r="A10" s="127" t="s">
        <v>38</v>
      </c>
      <c r="B10" s="128"/>
      <c r="C10" s="128"/>
      <c r="D10" s="128"/>
      <c r="E10" s="129"/>
      <c r="F10" s="90"/>
      <c r="G10" s="90"/>
      <c r="H10" s="90"/>
      <c r="I10" s="126"/>
      <c r="J10" s="10"/>
      <c r="K10" s="6"/>
      <c r="L10" s="6"/>
      <c r="M10" s="6"/>
      <c r="N10" s="6"/>
    </row>
    <row r="11" spans="1:14" ht="79.150000000000006" customHeight="1">
      <c r="A11" s="122" t="s">
        <v>65</v>
      </c>
      <c r="B11" s="123"/>
      <c r="C11" s="123"/>
      <c r="D11" s="124"/>
      <c r="E11" s="19">
        <v>10</v>
      </c>
      <c r="F11" s="76">
        <v>4</v>
      </c>
      <c r="G11" s="76">
        <v>3</v>
      </c>
      <c r="H11" s="76">
        <v>3</v>
      </c>
      <c r="I11" s="125">
        <f>IF(F11="N/A",4,F11)+IF(G11="N/A",3,G11)+IF(H11="N/A",3,H11)</f>
        <v>10</v>
      </c>
      <c r="J11" s="1"/>
      <c r="K11" s="6"/>
      <c r="L11" s="6"/>
      <c r="M11" s="6"/>
      <c r="N11" s="6"/>
    </row>
    <row r="12" spans="1:14" ht="18">
      <c r="A12" s="127" t="s">
        <v>41</v>
      </c>
      <c r="B12" s="128"/>
      <c r="C12" s="128"/>
      <c r="D12" s="128"/>
      <c r="E12" s="129"/>
      <c r="F12" s="90"/>
      <c r="G12" s="90"/>
      <c r="H12" s="90"/>
      <c r="I12" s="126"/>
      <c r="J12" s="1"/>
      <c r="K12" s="6"/>
      <c r="L12" s="6"/>
      <c r="M12" s="6"/>
      <c r="N12" s="6"/>
    </row>
    <row r="13" spans="1:14" ht="114.75" customHeight="1">
      <c r="A13" s="160" t="s">
        <v>66</v>
      </c>
      <c r="B13" s="161"/>
      <c r="C13" s="161"/>
      <c r="D13" s="162"/>
      <c r="E13" s="19">
        <v>10</v>
      </c>
      <c r="F13" s="76">
        <v>4</v>
      </c>
      <c r="G13" s="76">
        <v>3</v>
      </c>
      <c r="H13" s="76">
        <v>3</v>
      </c>
      <c r="I13" s="125">
        <f>IF(F13="N/A",4,F13)+IF(G13="N/A",3,G13)+IF(H13="N/A",3,H13)</f>
        <v>10</v>
      </c>
      <c r="J13" s="1"/>
      <c r="K13" s="6"/>
      <c r="L13" s="6"/>
      <c r="M13" s="6"/>
      <c r="N13" s="6"/>
    </row>
    <row r="14" spans="1:14" ht="18">
      <c r="A14" s="127" t="s">
        <v>43</v>
      </c>
      <c r="B14" s="128"/>
      <c r="C14" s="128"/>
      <c r="D14" s="128"/>
      <c r="E14" s="129"/>
      <c r="F14" s="90"/>
      <c r="G14" s="90"/>
      <c r="H14" s="90"/>
      <c r="I14" s="126"/>
      <c r="J14" s="1"/>
      <c r="K14" s="6"/>
      <c r="L14" s="6"/>
      <c r="M14" s="6"/>
      <c r="N14" s="6"/>
    </row>
    <row r="15" spans="1:14" ht="93.75" customHeight="1">
      <c r="A15" s="122" t="s">
        <v>67</v>
      </c>
      <c r="B15" s="123"/>
      <c r="C15" s="123"/>
      <c r="D15" s="124"/>
      <c r="E15" s="15">
        <v>10</v>
      </c>
      <c r="F15" s="76">
        <v>4</v>
      </c>
      <c r="G15" s="76">
        <v>3</v>
      </c>
      <c r="H15" s="76">
        <v>3</v>
      </c>
      <c r="I15" s="125">
        <f>IF(F15="N/A",4,F15)+IF(G15="N/A",3,G15)+IF(H15="N/A",3,H15)</f>
        <v>10</v>
      </c>
      <c r="J15" s="1"/>
      <c r="K15" s="1"/>
      <c r="L15" s="2"/>
      <c r="M15" s="2"/>
      <c r="N15" s="2"/>
    </row>
    <row r="16" spans="1:14" ht="16.5">
      <c r="A16" s="127" t="s">
        <v>45</v>
      </c>
      <c r="B16" s="128"/>
      <c r="C16" s="128"/>
      <c r="D16" s="128"/>
      <c r="E16" s="129"/>
      <c r="F16" s="90"/>
      <c r="G16" s="90"/>
      <c r="H16" s="90"/>
      <c r="I16" s="126"/>
      <c r="J16" s="1"/>
      <c r="K16" s="1"/>
      <c r="L16" s="2"/>
      <c r="M16" s="2"/>
      <c r="N16" s="2"/>
    </row>
    <row r="17" spans="1:14" ht="78.599999999999994" customHeight="1">
      <c r="A17" s="123" t="s">
        <v>68</v>
      </c>
      <c r="B17" s="123"/>
      <c r="C17" s="123"/>
      <c r="D17" s="124"/>
      <c r="E17" s="11">
        <v>10</v>
      </c>
      <c r="F17" s="76">
        <v>4</v>
      </c>
      <c r="G17" s="76">
        <v>3</v>
      </c>
      <c r="H17" s="76">
        <v>3</v>
      </c>
      <c r="I17" s="125">
        <f>IF(F17="N/A",4,F17)+IF(G17="N/A",3,G17)+IF(H17="N/A",3,H17)</f>
        <v>10</v>
      </c>
      <c r="J17" s="1"/>
      <c r="K17" s="1"/>
      <c r="L17" s="2"/>
      <c r="M17" s="2"/>
      <c r="N17" s="2"/>
    </row>
    <row r="18" spans="1:14" ht="16.5">
      <c r="A18" s="127" t="s">
        <v>47</v>
      </c>
      <c r="B18" s="128"/>
      <c r="C18" s="128"/>
      <c r="D18" s="128"/>
      <c r="E18" s="129"/>
      <c r="F18" s="96"/>
      <c r="G18" s="98"/>
      <c r="H18" s="97"/>
      <c r="I18" s="126"/>
      <c r="J18" s="1"/>
      <c r="K18" s="1"/>
      <c r="L18" s="2"/>
      <c r="M18" s="2"/>
      <c r="N18" s="2"/>
    </row>
    <row r="19" spans="1:14" ht="85.5" customHeight="1">
      <c r="A19" s="122" t="s">
        <v>69</v>
      </c>
      <c r="B19" s="123"/>
      <c r="C19" s="123"/>
      <c r="D19" s="124"/>
      <c r="E19" s="21">
        <v>10</v>
      </c>
      <c r="F19" s="76" t="s">
        <v>40</v>
      </c>
      <c r="G19" s="76" t="s">
        <v>40</v>
      </c>
      <c r="H19" s="76" t="s">
        <v>40</v>
      </c>
      <c r="I19" s="125">
        <f>IF(F19="N/A",4,F19)+IF(G19="N/A",3,G19)+IF(H19="N/A",3,H19)</f>
        <v>10</v>
      </c>
      <c r="J19" s="1"/>
      <c r="K19" s="1"/>
      <c r="L19" s="2"/>
      <c r="M19" s="2"/>
      <c r="N19" s="2"/>
    </row>
    <row r="20" spans="1:14" ht="16.5">
      <c r="A20" s="127" t="s">
        <v>70</v>
      </c>
      <c r="B20" s="128"/>
      <c r="C20" s="128"/>
      <c r="D20" s="128"/>
      <c r="E20" s="129"/>
      <c r="F20" s="96"/>
      <c r="G20" s="98"/>
      <c r="H20" s="97"/>
      <c r="I20" s="126"/>
      <c r="J20" s="1"/>
      <c r="K20" s="1"/>
      <c r="L20" s="2"/>
      <c r="M20" s="2"/>
      <c r="N20" s="2"/>
    </row>
    <row r="21" spans="1:14" ht="16.5">
      <c r="A21" s="119" t="s">
        <v>71</v>
      </c>
      <c r="B21" s="120"/>
      <c r="C21" s="120"/>
      <c r="D21" s="121"/>
      <c r="E21" s="22">
        <f>E9+E11+E13+E15+E17+E19</f>
        <v>60</v>
      </c>
      <c r="F21" s="2"/>
      <c r="G21" s="2"/>
      <c r="H21" s="23" t="s">
        <v>49</v>
      </c>
      <c r="I21" s="22">
        <f>SUM(I9:I20)</f>
        <v>57</v>
      </c>
      <c r="J21" s="1"/>
      <c r="K21" s="1"/>
      <c r="L21" s="2"/>
      <c r="M21" s="2"/>
      <c r="N21" s="2"/>
    </row>
    <row r="22" spans="1:14" ht="16.5">
      <c r="A22" s="133" t="s">
        <v>50</v>
      </c>
      <c r="B22" s="133"/>
      <c r="C22" s="133"/>
      <c r="D22" s="133"/>
      <c r="E22" s="133"/>
      <c r="F22" s="133"/>
      <c r="G22" s="133"/>
      <c r="H22" s="133"/>
      <c r="I22" s="133"/>
      <c r="J22" s="1"/>
      <c r="K22" s="1"/>
      <c r="L22" s="2"/>
      <c r="M22" s="2"/>
      <c r="N22" s="2"/>
    </row>
    <row r="23" spans="1:14" ht="27">
      <c r="A23" s="7"/>
      <c r="B23" s="7"/>
      <c r="C23" s="7"/>
      <c r="D23" s="24" t="s">
        <v>51</v>
      </c>
      <c r="E23" s="134"/>
      <c r="F23" s="135"/>
      <c r="G23" s="91"/>
      <c r="H23" s="91"/>
      <c r="I23" s="136" t="s">
        <v>52</v>
      </c>
      <c r="J23" s="10"/>
      <c r="K23" s="1"/>
      <c r="L23" s="2"/>
      <c r="M23" s="2"/>
      <c r="N23" s="2"/>
    </row>
    <row r="24" spans="1:14" ht="18.75">
      <c r="A24" s="7"/>
      <c r="B24" s="7"/>
      <c r="C24" s="7"/>
      <c r="D24" s="24" t="s">
        <v>53</v>
      </c>
      <c r="E24" s="139"/>
      <c r="F24" s="140"/>
      <c r="G24" s="92"/>
      <c r="H24" s="92"/>
      <c r="I24" s="137"/>
      <c r="J24" s="10"/>
      <c r="K24" s="1"/>
      <c r="L24" s="2"/>
      <c r="M24" s="2"/>
      <c r="N24" s="2"/>
    </row>
    <row r="25" spans="1:14" ht="16.5">
      <c r="A25" s="141" t="s">
        <v>54</v>
      </c>
      <c r="B25" s="142"/>
      <c r="C25" s="142"/>
      <c r="D25" s="143"/>
      <c r="E25" s="144" t="s">
        <v>55</v>
      </c>
      <c r="F25" s="145"/>
      <c r="G25" s="145"/>
      <c r="H25" s="146"/>
      <c r="I25" s="138"/>
      <c r="J25" s="1"/>
      <c r="K25" s="1"/>
      <c r="L25" s="2"/>
      <c r="M25" s="2"/>
      <c r="N25" s="2"/>
    </row>
    <row r="26" spans="1:14" ht="24.6" customHeight="1">
      <c r="A26" s="114" t="s">
        <v>72</v>
      </c>
      <c r="B26" s="115"/>
      <c r="C26" s="115"/>
      <c r="D26" s="116"/>
      <c r="E26" s="117"/>
      <c r="F26" s="118"/>
      <c r="G26" s="93"/>
      <c r="H26" s="92"/>
      <c r="I26" s="94"/>
      <c r="J26" s="2"/>
      <c r="K26" s="2"/>
      <c r="L26" s="2"/>
      <c r="M26" s="2"/>
      <c r="N26" s="2"/>
    </row>
    <row r="27" spans="1:14" ht="24.6" customHeight="1">
      <c r="A27" s="114" t="s">
        <v>73</v>
      </c>
      <c r="B27" s="115"/>
      <c r="C27" s="115"/>
      <c r="D27" s="116"/>
      <c r="E27" s="117"/>
      <c r="F27" s="118"/>
      <c r="G27" s="93"/>
      <c r="H27" s="92"/>
      <c r="I27" s="94"/>
      <c r="J27" s="2"/>
      <c r="K27" s="2"/>
      <c r="L27" s="2"/>
      <c r="M27" s="2"/>
      <c r="N27" s="2"/>
    </row>
    <row r="28" spans="1:14" ht="24.6" customHeight="1">
      <c r="A28" s="114" t="s">
        <v>74</v>
      </c>
      <c r="B28" s="115"/>
      <c r="C28" s="115"/>
      <c r="D28" s="116"/>
      <c r="E28" s="117"/>
      <c r="F28" s="118"/>
      <c r="G28" s="93"/>
      <c r="H28" s="92"/>
      <c r="I28" s="94"/>
      <c r="J28" s="2"/>
      <c r="K28" s="2"/>
      <c r="L28" s="2"/>
      <c r="M28" s="2"/>
      <c r="N28" s="2"/>
    </row>
    <row r="29" spans="1:14" ht="35.450000000000003" customHeight="1">
      <c r="A29" s="114" t="s">
        <v>75</v>
      </c>
      <c r="B29" s="115"/>
      <c r="C29" s="115"/>
      <c r="D29" s="116"/>
      <c r="E29" s="117"/>
      <c r="F29" s="118"/>
      <c r="G29" s="93"/>
      <c r="H29" s="93"/>
      <c r="I29" s="94"/>
      <c r="J29" s="2"/>
      <c r="K29" s="2"/>
      <c r="L29" s="2"/>
      <c r="M29" s="2"/>
      <c r="N29" s="2"/>
    </row>
    <row r="30" spans="1:14" ht="16.5">
      <c r="A30" s="114" t="s">
        <v>76</v>
      </c>
      <c r="B30" s="115"/>
      <c r="C30" s="115"/>
      <c r="D30" s="116"/>
      <c r="E30" s="117"/>
      <c r="F30" s="118"/>
      <c r="G30" s="93"/>
      <c r="H30" s="93"/>
      <c r="I30" s="94"/>
      <c r="J30" s="2"/>
      <c r="K30" s="2"/>
      <c r="L30" s="2"/>
      <c r="M30" s="2"/>
      <c r="N30" s="2"/>
    </row>
    <row r="31" spans="1:14" ht="16.5">
      <c r="A31" s="183"/>
      <c r="B31" s="183"/>
      <c r="C31" s="1"/>
      <c r="D31" s="1"/>
      <c r="E31" s="3"/>
      <c r="F31" s="1"/>
      <c r="G31" s="1"/>
      <c r="H31" s="1"/>
      <c r="I31" s="3"/>
      <c r="J31" s="2"/>
      <c r="K31" s="2"/>
      <c r="L31" s="2"/>
      <c r="M31" s="2"/>
      <c r="N31" s="2"/>
    </row>
    <row r="32" spans="1:14" ht="16.5">
      <c r="A32" s="184"/>
      <c r="B32" s="184"/>
      <c r="C32" s="1"/>
      <c r="D32" s="1"/>
      <c r="E32" s="3"/>
      <c r="F32" s="1"/>
      <c r="G32" s="1"/>
      <c r="H32" s="1"/>
      <c r="I32" s="3"/>
      <c r="J32" s="2"/>
      <c r="K32" s="2"/>
      <c r="L32" s="2"/>
      <c r="M32" s="2"/>
      <c r="N32" s="2"/>
    </row>
    <row r="33" spans="1:14" ht="16.5">
      <c r="A33" s="184"/>
      <c r="B33" s="184"/>
      <c r="C33" s="1"/>
      <c r="D33" s="1"/>
      <c r="E33" s="3"/>
      <c r="F33" s="1"/>
      <c r="G33" s="1"/>
      <c r="H33" s="1"/>
      <c r="I33" s="3"/>
      <c r="J33" s="2"/>
      <c r="K33" s="2"/>
      <c r="L33" s="2"/>
      <c r="M33" s="2"/>
      <c r="N33" s="2"/>
    </row>
    <row r="34" spans="1:14" ht="16.5">
      <c r="A34" s="184"/>
      <c r="B34" s="184"/>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21:D21"/>
    <mergeCell ref="A15:D15"/>
    <mergeCell ref="I15:I16"/>
    <mergeCell ref="A16:E16"/>
    <mergeCell ref="A17:D17"/>
    <mergeCell ref="I17:I18"/>
    <mergeCell ref="A18:E18"/>
    <mergeCell ref="A19:D19"/>
    <mergeCell ref="I19:I20"/>
    <mergeCell ref="A20:E20"/>
    <mergeCell ref="A22:I22"/>
    <mergeCell ref="A26:D26"/>
    <mergeCell ref="E26:F26"/>
    <mergeCell ref="A27:D27"/>
    <mergeCell ref="E27:F27"/>
    <mergeCell ref="E23:F23"/>
    <mergeCell ref="I23:I25"/>
    <mergeCell ref="E24:F24"/>
    <mergeCell ref="A25:D25"/>
    <mergeCell ref="E25:H25"/>
    <mergeCell ref="A28:D28"/>
    <mergeCell ref="E28:F28"/>
    <mergeCell ref="A33:B33"/>
    <mergeCell ref="A34:B34"/>
    <mergeCell ref="A29:D29"/>
    <mergeCell ref="E29:F29"/>
    <mergeCell ref="A30:D30"/>
    <mergeCell ref="E30:F30"/>
    <mergeCell ref="A31:B31"/>
    <mergeCell ref="A32:B3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topLeftCell="A9" workbookViewId="0">
      <selection activeCell="V28" sqref="V28"/>
    </sheetView>
  </sheetViews>
  <sheetFormatPr defaultRowHeight="15"/>
  <cols>
    <col min="1" max="2" width="12.5703125" customWidth="1"/>
    <col min="3" max="3" width="12.28515625" customWidth="1"/>
    <col min="4" max="4" width="12.5703125" customWidth="1"/>
    <col min="5" max="5" width="29.5703125" customWidth="1"/>
    <col min="6" max="8" width="30.28515625" customWidth="1"/>
  </cols>
  <sheetData>
    <row r="1" spans="1:13" ht="16.5">
      <c r="A1" s="2" t="s">
        <v>21</v>
      </c>
      <c r="B1" s="175">
        <v>45827</v>
      </c>
      <c r="C1" s="147"/>
      <c r="D1" s="147"/>
      <c r="E1" s="147"/>
      <c r="F1" s="2"/>
      <c r="G1" s="4" t="s">
        <v>22</v>
      </c>
      <c r="H1" s="95" t="s">
        <v>77</v>
      </c>
      <c r="I1" s="5"/>
      <c r="J1" s="2"/>
      <c r="K1" s="2"/>
      <c r="L1" s="2"/>
      <c r="M1" s="2"/>
    </row>
    <row r="2" spans="1:13" ht="16.5">
      <c r="A2" s="182"/>
      <c r="B2" s="182"/>
      <c r="C2" s="2"/>
      <c r="D2" s="2"/>
      <c r="E2" s="5"/>
      <c r="F2" s="2"/>
      <c r="G2" s="2"/>
      <c r="H2" s="2"/>
      <c r="I2" s="5"/>
      <c r="J2" s="2"/>
      <c r="K2" s="2"/>
      <c r="L2" s="2"/>
      <c r="M2" s="2"/>
    </row>
    <row r="3" spans="1:13" ht="18.75">
      <c r="A3" s="6"/>
      <c r="B3" s="6"/>
      <c r="C3" s="6"/>
      <c r="D3" s="6"/>
      <c r="E3" s="7"/>
      <c r="F3" s="7"/>
      <c r="G3" s="7"/>
      <c r="H3" s="7"/>
      <c r="I3" s="7"/>
      <c r="J3" s="7"/>
      <c r="K3" s="2"/>
      <c r="L3" s="2"/>
      <c r="M3" s="2"/>
    </row>
    <row r="4" spans="1:13" ht="16.5">
      <c r="A4" s="148" t="s">
        <v>78</v>
      </c>
      <c r="B4" s="149"/>
      <c r="C4" s="149"/>
      <c r="D4" s="150"/>
      <c r="E4" s="8" t="s">
        <v>25</v>
      </c>
      <c r="F4" s="86" t="s">
        <v>79</v>
      </c>
      <c r="G4" s="87" t="s">
        <v>80</v>
      </c>
      <c r="H4" s="88" t="s">
        <v>81</v>
      </c>
      <c r="I4" s="5"/>
      <c r="J4" s="10"/>
      <c r="K4" s="2"/>
      <c r="L4" s="2"/>
      <c r="M4" s="2"/>
    </row>
    <row r="5" spans="1:13" ht="16.5">
      <c r="A5" s="151"/>
      <c r="B5" s="152"/>
      <c r="C5" s="152"/>
      <c r="D5" s="153"/>
      <c r="E5" s="9" t="s">
        <v>27</v>
      </c>
      <c r="F5" s="94" t="s">
        <v>82</v>
      </c>
      <c r="G5" s="94" t="s">
        <v>83</v>
      </c>
      <c r="H5" s="94" t="s">
        <v>84</v>
      </c>
      <c r="I5" s="5"/>
      <c r="J5" s="10"/>
      <c r="K5" s="2"/>
      <c r="L5" s="2"/>
      <c r="M5" s="2"/>
    </row>
    <row r="6" spans="1:13">
      <c r="A6" s="151"/>
      <c r="B6" s="152"/>
      <c r="C6" s="152"/>
      <c r="D6" s="153"/>
      <c r="E6" s="14" t="s">
        <v>85</v>
      </c>
      <c r="F6" s="94" t="s">
        <v>82</v>
      </c>
      <c r="G6" s="94" t="s">
        <v>40</v>
      </c>
      <c r="H6" s="94" t="s">
        <v>86</v>
      </c>
      <c r="I6" s="64"/>
      <c r="J6" s="12"/>
      <c r="K6" s="12"/>
      <c r="L6" s="12"/>
      <c r="M6" s="12"/>
    </row>
    <row r="7" spans="1:13">
      <c r="A7" s="154"/>
      <c r="B7" s="155"/>
      <c r="C7" s="155"/>
      <c r="D7" s="156"/>
      <c r="E7" s="14" t="s">
        <v>87</v>
      </c>
      <c r="F7" s="89" t="s">
        <v>88</v>
      </c>
      <c r="G7" s="89" t="s">
        <v>89</v>
      </c>
      <c r="H7" s="89" t="s">
        <v>90</v>
      </c>
      <c r="I7" s="64"/>
      <c r="J7" s="12"/>
      <c r="K7" s="12"/>
      <c r="L7" s="12"/>
      <c r="M7" s="12"/>
    </row>
    <row r="8" spans="1:13" ht="78.599999999999994" customHeight="1">
      <c r="A8" s="157" t="s">
        <v>91</v>
      </c>
      <c r="B8" s="158"/>
      <c r="C8" s="158"/>
      <c r="D8" s="159"/>
      <c r="E8" s="16" t="s">
        <v>34</v>
      </c>
      <c r="F8" s="157" t="s">
        <v>35</v>
      </c>
      <c r="G8" s="158"/>
      <c r="H8" s="159"/>
      <c r="I8" s="16" t="s">
        <v>36</v>
      </c>
      <c r="J8" s="17"/>
      <c r="K8" s="17"/>
      <c r="L8" s="18"/>
      <c r="M8" s="18"/>
    </row>
    <row r="9" spans="1:13" ht="66.75" customHeight="1">
      <c r="A9" s="122" t="s">
        <v>92</v>
      </c>
      <c r="B9" s="123"/>
      <c r="C9" s="123"/>
      <c r="D9" s="124"/>
      <c r="E9" s="15">
        <v>10</v>
      </c>
      <c r="F9" s="76">
        <v>4</v>
      </c>
      <c r="G9" s="76">
        <v>3</v>
      </c>
      <c r="H9" s="76">
        <v>3</v>
      </c>
      <c r="I9" s="125">
        <f>IF(F9="N/A",4,F9)+IF(G9="N/A",3,G9)+IF(H9="N/A",3,H9)</f>
        <v>10</v>
      </c>
      <c r="J9" s="10"/>
      <c r="K9" s="6"/>
      <c r="L9" s="6"/>
      <c r="M9" s="6"/>
    </row>
    <row r="10" spans="1:13" ht="18">
      <c r="A10" s="127" t="s">
        <v>38</v>
      </c>
      <c r="B10" s="128"/>
      <c r="C10" s="128"/>
      <c r="D10" s="128"/>
      <c r="E10" s="129"/>
      <c r="F10" s="90"/>
      <c r="G10" s="90"/>
      <c r="H10" s="90"/>
      <c r="I10" s="126"/>
      <c r="J10" s="1"/>
      <c r="K10" s="6"/>
      <c r="L10" s="6"/>
      <c r="M10" s="6"/>
    </row>
    <row r="11" spans="1:13" ht="48.75" customHeight="1">
      <c r="A11" s="122" t="s">
        <v>93</v>
      </c>
      <c r="B11" s="123"/>
      <c r="C11" s="123"/>
      <c r="D11" s="124"/>
      <c r="E11" s="19">
        <v>10</v>
      </c>
      <c r="F11" s="76">
        <v>4</v>
      </c>
      <c r="G11" s="76">
        <v>3</v>
      </c>
      <c r="H11" s="76">
        <v>3</v>
      </c>
      <c r="I11" s="125">
        <f>IF(F11="N/A",4,F11)+IF(G11="N/A",3,G11)+IF(H11="N/A",3,H11)</f>
        <v>10</v>
      </c>
      <c r="J11" s="1"/>
      <c r="K11" s="6"/>
      <c r="L11" s="6"/>
      <c r="M11" s="6"/>
    </row>
    <row r="12" spans="1:13" ht="41.25">
      <c r="A12" s="127" t="s">
        <v>41</v>
      </c>
      <c r="B12" s="128"/>
      <c r="C12" s="128"/>
      <c r="D12" s="128"/>
      <c r="E12" s="129"/>
      <c r="F12" s="90" t="s">
        <v>94</v>
      </c>
      <c r="G12" s="90" t="s">
        <v>95</v>
      </c>
      <c r="H12" s="90" t="s">
        <v>96</v>
      </c>
      <c r="I12" s="126"/>
      <c r="J12" s="1"/>
      <c r="K12" s="6"/>
      <c r="L12" s="6"/>
      <c r="M12" s="6"/>
    </row>
    <row r="13" spans="1:13" ht="87" customHeight="1">
      <c r="A13" s="122" t="s">
        <v>97</v>
      </c>
      <c r="B13" s="123"/>
      <c r="C13" s="123"/>
      <c r="D13" s="124"/>
      <c r="E13" s="19">
        <v>10</v>
      </c>
      <c r="F13" s="76">
        <v>0</v>
      </c>
      <c r="G13" s="76" t="s">
        <v>40</v>
      </c>
      <c r="H13" s="76">
        <v>0</v>
      </c>
      <c r="I13" s="125">
        <f>IF(F13="N/A",4,F13)+IF(G13="N/A",3,G13)+IF(H13="N/A",3,H13)</f>
        <v>3</v>
      </c>
      <c r="J13" s="1"/>
      <c r="K13" s="6"/>
      <c r="L13" s="6"/>
      <c r="M13" s="6"/>
    </row>
    <row r="14" spans="1:13" ht="68.25">
      <c r="A14" s="127" t="s">
        <v>43</v>
      </c>
      <c r="B14" s="128"/>
      <c r="C14" s="128"/>
      <c r="D14" s="128"/>
      <c r="E14" s="129"/>
      <c r="F14" s="90" t="s">
        <v>98</v>
      </c>
      <c r="G14" s="90"/>
      <c r="H14" s="90" t="s">
        <v>99</v>
      </c>
      <c r="I14" s="126"/>
      <c r="J14" s="1"/>
      <c r="K14" s="6"/>
      <c r="L14" s="6"/>
      <c r="M14" s="6"/>
    </row>
    <row r="15" spans="1:13" ht="48.75" customHeight="1">
      <c r="A15" s="122" t="s">
        <v>100</v>
      </c>
      <c r="B15" s="123"/>
      <c r="C15" s="123"/>
      <c r="D15" s="124"/>
      <c r="E15" s="19">
        <v>10</v>
      </c>
      <c r="F15" s="76" t="s">
        <v>40</v>
      </c>
      <c r="G15" s="76" t="s">
        <v>40</v>
      </c>
      <c r="H15" s="76">
        <v>0</v>
      </c>
      <c r="I15" s="125">
        <f>IF(F15="N/A",4,F15)+IF(G15="N/A",3,G15)+IF(H15="N/A",3,H15)</f>
        <v>7</v>
      </c>
      <c r="J15" s="1"/>
      <c r="K15" s="1"/>
      <c r="L15" s="2"/>
      <c r="M15" s="2"/>
    </row>
    <row r="16" spans="1:13" ht="83.25">
      <c r="A16" s="127" t="s">
        <v>45</v>
      </c>
      <c r="B16" s="128"/>
      <c r="C16" s="128"/>
      <c r="D16" s="128"/>
      <c r="E16" s="129"/>
      <c r="F16" s="90" t="s">
        <v>101</v>
      </c>
      <c r="G16" s="90" t="s">
        <v>101</v>
      </c>
      <c r="H16" s="90" t="s">
        <v>102</v>
      </c>
      <c r="I16" s="126"/>
      <c r="J16" s="1"/>
      <c r="K16" s="1"/>
      <c r="L16" s="2"/>
      <c r="M16" s="2"/>
    </row>
    <row r="17" spans="1:13" ht="74.25" customHeight="1">
      <c r="A17" s="122" t="s">
        <v>103</v>
      </c>
      <c r="B17" s="123"/>
      <c r="C17" s="123"/>
      <c r="D17" s="124"/>
      <c r="E17" s="19">
        <v>10</v>
      </c>
      <c r="F17" s="76">
        <v>4</v>
      </c>
      <c r="G17" s="76">
        <v>0</v>
      </c>
      <c r="H17" s="76" t="s">
        <v>40</v>
      </c>
      <c r="I17" s="125">
        <f>IF(F17="N/A",4,F17)+IF(G17="N/A",3,G17)+IF(H17="N/A",3,H17)</f>
        <v>7</v>
      </c>
      <c r="J17" s="1"/>
      <c r="K17" s="1"/>
      <c r="L17" s="2"/>
      <c r="M17" s="2"/>
    </row>
    <row r="18" spans="1:13" ht="54.75">
      <c r="A18" s="127" t="s">
        <v>47</v>
      </c>
      <c r="B18" s="128"/>
      <c r="C18" s="128"/>
      <c r="D18" s="128"/>
      <c r="E18" s="129"/>
      <c r="F18" s="90" t="s">
        <v>104</v>
      </c>
      <c r="G18" s="90" t="s">
        <v>105</v>
      </c>
      <c r="H18" s="90" t="s">
        <v>105</v>
      </c>
      <c r="I18" s="126"/>
      <c r="J18" s="1"/>
      <c r="K18" s="1"/>
      <c r="L18" s="2"/>
      <c r="M18" s="2"/>
    </row>
    <row r="19" spans="1:13" ht="38.25">
      <c r="A19" s="158" t="s">
        <v>106</v>
      </c>
      <c r="B19" s="158"/>
      <c r="C19" s="158"/>
      <c r="D19" s="159"/>
      <c r="E19" s="16" t="s">
        <v>34</v>
      </c>
      <c r="F19" s="157" t="s">
        <v>107</v>
      </c>
      <c r="G19" s="158"/>
      <c r="H19" s="159"/>
      <c r="I19" s="16" t="s">
        <v>36</v>
      </c>
      <c r="J19" s="20"/>
      <c r="K19" s="1"/>
      <c r="L19" s="2"/>
      <c r="M19" s="2"/>
    </row>
    <row r="20" spans="1:13" ht="60" customHeight="1">
      <c r="A20" s="122" t="s">
        <v>108</v>
      </c>
      <c r="B20" s="123"/>
      <c r="C20" s="123"/>
      <c r="D20" s="124"/>
      <c r="E20" s="19">
        <v>10</v>
      </c>
      <c r="F20" s="117">
        <v>10</v>
      </c>
      <c r="G20" s="163"/>
      <c r="H20" s="118"/>
      <c r="I20" s="125">
        <f>IF(F20="N/A",10,F20)</f>
        <v>10</v>
      </c>
      <c r="J20" s="1"/>
      <c r="K20" s="1"/>
      <c r="L20" s="2"/>
      <c r="M20" s="2"/>
    </row>
    <row r="21" spans="1:13" ht="16.5">
      <c r="A21" s="127" t="s">
        <v>70</v>
      </c>
      <c r="B21" s="128"/>
      <c r="C21" s="128"/>
      <c r="D21" s="128"/>
      <c r="E21" s="129"/>
      <c r="F21" s="130"/>
      <c r="G21" s="131"/>
      <c r="H21" s="132"/>
      <c r="I21" s="126"/>
      <c r="J21" s="1"/>
      <c r="K21" s="1"/>
      <c r="L21" s="2"/>
      <c r="M21" s="2"/>
    </row>
    <row r="22" spans="1:13" ht="74.25" customHeight="1">
      <c r="A22" s="123" t="s">
        <v>109</v>
      </c>
      <c r="B22" s="123"/>
      <c r="C22" s="123"/>
      <c r="D22" s="124"/>
      <c r="E22" s="11">
        <v>10</v>
      </c>
      <c r="F22" s="117">
        <v>0</v>
      </c>
      <c r="G22" s="163"/>
      <c r="H22" s="118"/>
      <c r="I22" s="125">
        <f>IF(F22="N/A",10,F22)</f>
        <v>0</v>
      </c>
      <c r="J22" s="1"/>
      <c r="K22" s="1"/>
      <c r="L22" s="2"/>
      <c r="M22" s="2"/>
    </row>
    <row r="23" spans="1:13" ht="16.5">
      <c r="A23" s="127" t="s">
        <v>110</v>
      </c>
      <c r="B23" s="128"/>
      <c r="C23" s="128"/>
      <c r="D23" s="128"/>
      <c r="E23" s="129"/>
      <c r="F23" s="130"/>
      <c r="G23" s="131"/>
      <c r="H23" s="132"/>
      <c r="I23" s="126"/>
      <c r="J23" s="1"/>
      <c r="K23" s="1"/>
      <c r="L23" s="2"/>
      <c r="M23" s="2"/>
    </row>
    <row r="24" spans="1:13" ht="63.75" customHeight="1">
      <c r="A24" s="122" t="s">
        <v>111</v>
      </c>
      <c r="B24" s="123"/>
      <c r="C24" s="123"/>
      <c r="D24" s="124"/>
      <c r="E24" s="21">
        <v>10</v>
      </c>
      <c r="F24" s="117">
        <v>10</v>
      </c>
      <c r="G24" s="163"/>
      <c r="H24" s="118"/>
      <c r="I24" s="125">
        <f>IF(F24="N/A",10,F24)</f>
        <v>10</v>
      </c>
      <c r="J24" s="1"/>
      <c r="K24" s="1"/>
      <c r="L24" s="2"/>
      <c r="M24" s="2"/>
    </row>
    <row r="25" spans="1:13" ht="16.5">
      <c r="A25" s="127" t="s">
        <v>112</v>
      </c>
      <c r="B25" s="128"/>
      <c r="C25" s="128"/>
      <c r="D25" s="128"/>
      <c r="E25" s="129"/>
      <c r="F25" s="130"/>
      <c r="G25" s="131"/>
      <c r="H25" s="132"/>
      <c r="I25" s="126"/>
      <c r="J25" s="1"/>
      <c r="K25" s="1"/>
      <c r="L25" s="2"/>
      <c r="M25" s="2"/>
    </row>
    <row r="26" spans="1:13" ht="72" customHeight="1">
      <c r="A26" s="123" t="s">
        <v>113</v>
      </c>
      <c r="B26" s="123"/>
      <c r="C26" s="123"/>
      <c r="D26" s="124"/>
      <c r="E26" s="11">
        <v>10</v>
      </c>
      <c r="F26" s="117">
        <v>10</v>
      </c>
      <c r="G26" s="163"/>
      <c r="H26" s="118"/>
      <c r="I26" s="125">
        <f>IF(F26="N/A",10,F26)</f>
        <v>10</v>
      </c>
      <c r="J26" s="1"/>
      <c r="K26" s="1"/>
      <c r="L26" s="2"/>
      <c r="M26" s="2"/>
    </row>
    <row r="27" spans="1:13" ht="16.5">
      <c r="A27" s="127" t="s">
        <v>114</v>
      </c>
      <c r="B27" s="128"/>
      <c r="C27" s="128"/>
      <c r="D27" s="128"/>
      <c r="E27" s="129"/>
      <c r="F27" s="130"/>
      <c r="G27" s="131"/>
      <c r="H27" s="132"/>
      <c r="I27" s="126"/>
      <c r="J27" s="1"/>
      <c r="K27" s="1"/>
      <c r="L27" s="2"/>
      <c r="M27" s="2"/>
    </row>
    <row r="28" spans="1:13" ht="72.75" customHeight="1">
      <c r="A28" s="123" t="s">
        <v>115</v>
      </c>
      <c r="B28" s="123"/>
      <c r="C28" s="123"/>
      <c r="D28" s="124"/>
      <c r="E28" s="11">
        <v>10</v>
      </c>
      <c r="F28" s="117">
        <v>10</v>
      </c>
      <c r="G28" s="163"/>
      <c r="H28" s="118"/>
      <c r="I28" s="125">
        <f>IF(F28="N/A",10,F28)</f>
        <v>10</v>
      </c>
      <c r="J28" s="1"/>
      <c r="K28" s="1"/>
      <c r="L28" s="2"/>
      <c r="M28" s="2"/>
    </row>
    <row r="29" spans="1:13" ht="16.5">
      <c r="A29" s="127" t="s">
        <v>116</v>
      </c>
      <c r="B29" s="128"/>
      <c r="C29" s="128"/>
      <c r="D29" s="128"/>
      <c r="E29" s="129"/>
      <c r="F29" s="130"/>
      <c r="G29" s="131"/>
      <c r="H29" s="132"/>
      <c r="I29" s="126"/>
      <c r="J29" s="1"/>
      <c r="K29" s="1"/>
      <c r="L29" s="2"/>
      <c r="M29" s="2"/>
    </row>
    <row r="30" spans="1:13" ht="60.75" customHeight="1">
      <c r="A30" s="123" t="s">
        <v>117</v>
      </c>
      <c r="B30" s="123"/>
      <c r="C30" s="123"/>
      <c r="D30" s="124"/>
      <c r="E30" s="11">
        <v>10</v>
      </c>
      <c r="F30" s="117">
        <v>10</v>
      </c>
      <c r="G30" s="163"/>
      <c r="H30" s="118"/>
      <c r="I30" s="125">
        <f>IF(F30="N/A",10,F30)</f>
        <v>10</v>
      </c>
      <c r="J30" s="1"/>
      <c r="K30" s="1"/>
      <c r="L30" s="2"/>
      <c r="M30" s="2"/>
    </row>
    <row r="31" spans="1:13" ht="16.5">
      <c r="A31" s="127" t="s">
        <v>118</v>
      </c>
      <c r="B31" s="128"/>
      <c r="C31" s="128"/>
      <c r="D31" s="128"/>
      <c r="E31" s="129"/>
      <c r="F31" s="130"/>
      <c r="G31" s="131"/>
      <c r="H31" s="132"/>
      <c r="I31" s="126"/>
      <c r="J31" s="1"/>
      <c r="K31" s="1"/>
      <c r="L31" s="2"/>
      <c r="M31" s="2"/>
    </row>
    <row r="32" spans="1:13" ht="57" customHeight="1">
      <c r="A32" s="123" t="s">
        <v>119</v>
      </c>
      <c r="B32" s="123"/>
      <c r="C32" s="123"/>
      <c r="D32" s="124"/>
      <c r="E32" s="11">
        <v>10</v>
      </c>
      <c r="F32" s="117">
        <v>10</v>
      </c>
      <c r="G32" s="163"/>
      <c r="H32" s="118"/>
      <c r="I32" s="125">
        <f>IF(F32="N/A",10,F32)</f>
        <v>10</v>
      </c>
      <c r="J32" s="1"/>
      <c r="K32" s="1"/>
      <c r="L32" s="2"/>
      <c r="M32" s="2"/>
    </row>
    <row r="33" spans="1:13" ht="16.5">
      <c r="A33" s="127" t="s">
        <v>120</v>
      </c>
      <c r="B33" s="128"/>
      <c r="C33" s="128"/>
      <c r="D33" s="128"/>
      <c r="E33" s="129"/>
      <c r="F33" s="130"/>
      <c r="G33" s="131"/>
      <c r="H33" s="132"/>
      <c r="I33" s="126"/>
      <c r="J33" s="1"/>
      <c r="K33" s="1"/>
      <c r="L33" s="2"/>
      <c r="M33" s="2"/>
    </row>
    <row r="34" spans="1:13" ht="16.5">
      <c r="A34" s="164" t="s">
        <v>121</v>
      </c>
      <c r="B34" s="165"/>
      <c r="C34" s="165"/>
      <c r="D34" s="166"/>
      <c r="E34" s="22">
        <f>E9+E11+E13+E15+E17+E20+E22+E24+E26+E28+E30+E32+E36</f>
        <v>130</v>
      </c>
      <c r="F34" s="2"/>
      <c r="G34" s="2"/>
      <c r="H34" s="23" t="s">
        <v>49</v>
      </c>
      <c r="I34" s="22">
        <f>SUM(I9:I18)+SUM(I20:I33)+I36</f>
        <v>107</v>
      </c>
      <c r="J34" s="1"/>
      <c r="K34" s="1"/>
      <c r="L34" s="2"/>
      <c r="M34" s="2"/>
    </row>
    <row r="35" spans="1:13" ht="16.5">
      <c r="A35" s="133" t="s">
        <v>50</v>
      </c>
      <c r="B35" s="133"/>
      <c r="C35" s="133"/>
      <c r="D35" s="133"/>
      <c r="E35" s="133"/>
      <c r="F35" s="133"/>
      <c r="G35" s="133"/>
      <c r="H35" s="133"/>
      <c r="I35" s="133"/>
      <c r="J35" s="1"/>
      <c r="K35" s="1"/>
      <c r="L35" s="2"/>
      <c r="M35" s="2"/>
    </row>
    <row r="36" spans="1:13" ht="73.5" customHeight="1">
      <c r="A36" s="123" t="s">
        <v>122</v>
      </c>
      <c r="B36" s="123"/>
      <c r="C36" s="123"/>
      <c r="D36" s="124"/>
      <c r="E36" s="11">
        <v>10</v>
      </c>
      <c r="F36" s="117" t="s">
        <v>40</v>
      </c>
      <c r="G36" s="163"/>
      <c r="H36" s="118"/>
      <c r="I36" s="125">
        <f>IF(F36="N/A",10,F36)</f>
        <v>10</v>
      </c>
      <c r="J36" s="1"/>
      <c r="K36" s="1"/>
      <c r="L36" s="2"/>
      <c r="M36" s="2"/>
    </row>
    <row r="37" spans="1:13" ht="16.5">
      <c r="A37" s="127" t="s">
        <v>123</v>
      </c>
      <c r="B37" s="128"/>
      <c r="C37" s="128"/>
      <c r="D37" s="128"/>
      <c r="E37" s="129"/>
      <c r="F37" s="130"/>
      <c r="G37" s="131"/>
      <c r="H37" s="132"/>
      <c r="I37" s="126"/>
      <c r="J37" s="1"/>
      <c r="K37" s="1"/>
      <c r="L37" s="2"/>
      <c r="M37" s="2"/>
    </row>
    <row r="38" spans="1:13" ht="16.5">
      <c r="A38" s="133" t="s">
        <v>50</v>
      </c>
      <c r="B38" s="133"/>
      <c r="C38" s="133"/>
      <c r="D38" s="133"/>
      <c r="E38" s="133"/>
      <c r="F38" s="133"/>
      <c r="G38" s="133"/>
      <c r="H38" s="133"/>
      <c r="I38" s="133"/>
      <c r="J38" s="1"/>
      <c r="K38" s="1"/>
      <c r="L38" s="2"/>
      <c r="M38" s="2"/>
    </row>
    <row r="39" spans="1:13" ht="27">
      <c r="A39" s="7"/>
      <c r="B39" s="7"/>
      <c r="C39" s="7"/>
      <c r="D39" s="24" t="s">
        <v>51</v>
      </c>
      <c r="E39" s="167"/>
      <c r="F39" s="168"/>
      <c r="G39" s="87"/>
      <c r="H39" s="87"/>
      <c r="I39" s="136" t="s">
        <v>52</v>
      </c>
      <c r="J39" s="1"/>
      <c r="K39" s="1"/>
      <c r="L39" s="2"/>
      <c r="M39" s="2"/>
    </row>
    <row r="40" spans="1:13" ht="18.75">
      <c r="A40" s="7"/>
      <c r="B40" s="7"/>
      <c r="C40" s="7"/>
      <c r="D40" s="24" t="s">
        <v>53</v>
      </c>
      <c r="E40" s="117"/>
      <c r="F40" s="118"/>
      <c r="G40" s="76"/>
      <c r="H40" s="76"/>
      <c r="I40" s="137"/>
      <c r="J40" s="10"/>
      <c r="K40" s="2"/>
      <c r="L40" s="2"/>
      <c r="M40" s="2"/>
    </row>
    <row r="41" spans="1:13" ht="16.5">
      <c r="A41" s="169" t="s">
        <v>54</v>
      </c>
      <c r="B41" s="170"/>
      <c r="C41" s="170"/>
      <c r="D41" s="171"/>
      <c r="E41" s="172" t="s">
        <v>55</v>
      </c>
      <c r="F41" s="173"/>
      <c r="G41" s="173"/>
      <c r="H41" s="174"/>
      <c r="I41" s="138"/>
      <c r="J41" s="2"/>
      <c r="K41" s="2"/>
      <c r="L41" s="2"/>
      <c r="M41" s="2"/>
    </row>
    <row r="42" spans="1:13" ht="24.6" customHeight="1">
      <c r="A42" s="122" t="s">
        <v>124</v>
      </c>
      <c r="B42" s="123"/>
      <c r="C42" s="123"/>
      <c r="D42" s="124"/>
      <c r="E42" s="117"/>
      <c r="F42" s="118"/>
      <c r="G42" s="93"/>
      <c r="H42" s="92"/>
      <c r="I42" s="94"/>
      <c r="J42" s="2"/>
      <c r="K42" s="2"/>
      <c r="L42" s="2"/>
      <c r="M42" s="2"/>
    </row>
    <row r="43" spans="1:13" ht="24.6" customHeight="1">
      <c r="A43" s="122" t="s">
        <v>125</v>
      </c>
      <c r="B43" s="123"/>
      <c r="C43" s="123"/>
      <c r="D43" s="124"/>
      <c r="E43" s="117"/>
      <c r="F43" s="118"/>
      <c r="G43" s="93"/>
      <c r="H43" s="92"/>
      <c r="I43" s="94"/>
      <c r="J43" s="2"/>
      <c r="K43" s="2"/>
      <c r="L43" s="2"/>
      <c r="M43" s="2"/>
    </row>
    <row r="44" spans="1:13" ht="57" customHeight="1">
      <c r="A44" s="122" t="s">
        <v>126</v>
      </c>
      <c r="B44" s="123"/>
      <c r="C44" s="123"/>
      <c r="D44" s="124"/>
      <c r="E44" s="117"/>
      <c r="F44" s="118"/>
      <c r="G44" s="93"/>
      <c r="H44" s="92"/>
      <c r="I44" s="94"/>
      <c r="J44" s="2"/>
      <c r="K44" s="2"/>
      <c r="L44" s="2"/>
      <c r="M44" s="2"/>
    </row>
    <row r="45" spans="1:13" ht="24.6" customHeight="1">
      <c r="A45" s="122" t="s">
        <v>127</v>
      </c>
      <c r="B45" s="123"/>
      <c r="C45" s="123"/>
      <c r="D45" s="124"/>
      <c r="E45" s="117"/>
      <c r="F45" s="118"/>
      <c r="G45" s="93"/>
      <c r="H45" s="93"/>
      <c r="I45" s="94"/>
      <c r="J45" s="2"/>
      <c r="K45" s="2"/>
      <c r="L45" s="2"/>
      <c r="M45" s="2"/>
    </row>
    <row r="46" spans="1:13" ht="24.6" customHeight="1">
      <c r="A46" s="122" t="s">
        <v>128</v>
      </c>
      <c r="B46" s="123"/>
      <c r="C46" s="123"/>
      <c r="D46" s="124"/>
      <c r="E46" s="117"/>
      <c r="F46" s="118"/>
      <c r="G46" s="93"/>
      <c r="H46" s="93"/>
      <c r="I46" s="94"/>
      <c r="J46" s="2"/>
      <c r="K46" s="2"/>
      <c r="L46" s="2"/>
      <c r="M46" s="2"/>
    </row>
    <row r="47" spans="1:13" ht="16.5">
      <c r="A47" s="183"/>
      <c r="B47" s="183"/>
      <c r="C47" s="1"/>
      <c r="D47" s="1"/>
      <c r="E47" s="3"/>
      <c r="F47" s="1"/>
      <c r="G47" s="1"/>
      <c r="H47" s="1"/>
      <c r="I47" s="3"/>
      <c r="J47" s="2"/>
      <c r="K47" s="2"/>
      <c r="L47" s="2"/>
      <c r="M47" s="2"/>
    </row>
    <row r="48" spans="1:13" ht="16.5">
      <c r="A48" s="184"/>
      <c r="B48" s="184"/>
      <c r="C48" s="1"/>
      <c r="D48" s="1"/>
      <c r="E48" s="3"/>
      <c r="F48" s="1"/>
      <c r="G48" s="1"/>
      <c r="H48" s="1"/>
      <c r="I48" s="3"/>
      <c r="J48" s="2"/>
      <c r="K48" s="2"/>
      <c r="L48" s="2"/>
      <c r="M48" s="2"/>
    </row>
    <row r="49" spans="1:13" ht="16.5">
      <c r="A49" s="184"/>
      <c r="B49" s="184"/>
      <c r="C49" s="1"/>
      <c r="D49" s="1"/>
      <c r="E49" s="3"/>
      <c r="F49" s="1"/>
      <c r="G49" s="1"/>
      <c r="H49" s="1"/>
      <c r="I49" s="3"/>
      <c r="J49" s="2"/>
      <c r="K49" s="2"/>
      <c r="L49" s="2"/>
      <c r="M49" s="2"/>
    </row>
    <row r="50" spans="1:13" ht="16.5">
      <c r="A50" s="184"/>
      <c r="B50" s="184"/>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13:D13"/>
    <mergeCell ref="I13:I14"/>
    <mergeCell ref="A14:E14"/>
    <mergeCell ref="B1:E1"/>
    <mergeCell ref="A2:B2"/>
    <mergeCell ref="A4:D7"/>
    <mergeCell ref="A8:D8"/>
    <mergeCell ref="F8:H8"/>
    <mergeCell ref="A9:D9"/>
    <mergeCell ref="I9:I10"/>
    <mergeCell ref="A10:E10"/>
    <mergeCell ref="A11:D11"/>
    <mergeCell ref="I11:I12"/>
    <mergeCell ref="A12:E12"/>
    <mergeCell ref="A15:D15"/>
    <mergeCell ref="I15:I16"/>
    <mergeCell ref="A16:E16"/>
    <mergeCell ref="A17:D17"/>
    <mergeCell ref="I17:I18"/>
    <mergeCell ref="A18:E18"/>
    <mergeCell ref="A19:D19"/>
    <mergeCell ref="F19:H19"/>
    <mergeCell ref="A22:D22"/>
    <mergeCell ref="F22:H22"/>
    <mergeCell ref="I22:I23"/>
    <mergeCell ref="A23:E23"/>
    <mergeCell ref="F23:H23"/>
    <mergeCell ref="A20:D20"/>
    <mergeCell ref="F20:H20"/>
    <mergeCell ref="I20:I21"/>
    <mergeCell ref="A21:E21"/>
    <mergeCell ref="F21:H21"/>
    <mergeCell ref="A24:D24"/>
    <mergeCell ref="F24:H24"/>
    <mergeCell ref="I24:I25"/>
    <mergeCell ref="A25:E25"/>
    <mergeCell ref="F25:H25"/>
    <mergeCell ref="A26:D26"/>
    <mergeCell ref="F26:H26"/>
    <mergeCell ref="I26:I27"/>
    <mergeCell ref="A27:E27"/>
    <mergeCell ref="F27:H27"/>
    <mergeCell ref="A28:D28"/>
    <mergeCell ref="F28:H28"/>
    <mergeCell ref="I28:I29"/>
    <mergeCell ref="A29:E29"/>
    <mergeCell ref="F29:H29"/>
    <mergeCell ref="A30:D30"/>
    <mergeCell ref="F30:H30"/>
    <mergeCell ref="I30:I31"/>
    <mergeCell ref="A31:E31"/>
    <mergeCell ref="F31:H31"/>
    <mergeCell ref="A34:D34"/>
    <mergeCell ref="E39:F39"/>
    <mergeCell ref="I39:I41"/>
    <mergeCell ref="E40:F40"/>
    <mergeCell ref="A41:D41"/>
    <mergeCell ref="E41:H41"/>
    <mergeCell ref="A35:I35"/>
    <mergeCell ref="A38:I38"/>
    <mergeCell ref="A36:D36"/>
    <mergeCell ref="F36:H36"/>
    <mergeCell ref="I36:I37"/>
    <mergeCell ref="A37:E37"/>
    <mergeCell ref="F37:H37"/>
    <mergeCell ref="A32:D32"/>
    <mergeCell ref="F32:H32"/>
    <mergeCell ref="I32:I33"/>
    <mergeCell ref="A33:E33"/>
    <mergeCell ref="F33:H33"/>
    <mergeCell ref="A49:B49"/>
    <mergeCell ref="A50:B50"/>
    <mergeCell ref="A45:D45"/>
    <mergeCell ref="E45:F45"/>
    <mergeCell ref="A46:D46"/>
    <mergeCell ref="E46:F46"/>
    <mergeCell ref="A47:B47"/>
    <mergeCell ref="A48:B48"/>
    <mergeCell ref="A42:D42"/>
    <mergeCell ref="E42:F42"/>
    <mergeCell ref="A43:D43"/>
    <mergeCell ref="E43:F43"/>
    <mergeCell ref="A44:D44"/>
    <mergeCell ref="E44:F44"/>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workbookViewId="0">
      <selection activeCell="H9" sqref="H9"/>
    </sheetView>
  </sheetViews>
  <sheetFormatPr defaultRowHeight="15"/>
  <cols>
    <col min="1" max="1" width="11.28515625" customWidth="1"/>
    <col min="2" max="2" width="11" customWidth="1"/>
    <col min="3" max="3" width="11.5703125" customWidth="1"/>
    <col min="4" max="4" width="13" customWidth="1"/>
    <col min="5" max="5" width="11.140625" customWidth="1"/>
    <col min="6" max="8" width="29.7109375" customWidth="1"/>
  </cols>
  <sheetData>
    <row r="1" spans="1:11" ht="16.5">
      <c r="A1" s="2" t="s">
        <v>21</v>
      </c>
      <c r="B1" s="175" t="s">
        <v>129</v>
      </c>
      <c r="C1" s="147"/>
      <c r="D1" s="147"/>
      <c r="E1" s="147"/>
      <c r="F1" s="2"/>
      <c r="G1" s="4" t="s">
        <v>22</v>
      </c>
      <c r="H1" s="95" t="s">
        <v>130</v>
      </c>
      <c r="I1" s="2"/>
      <c r="J1" s="2"/>
      <c r="K1" s="2"/>
    </row>
    <row r="2" spans="1:11" ht="16.5">
      <c r="A2" s="182"/>
      <c r="B2" s="182"/>
      <c r="C2" s="2"/>
      <c r="D2" s="2"/>
      <c r="E2" s="5"/>
      <c r="F2" s="2"/>
      <c r="G2" s="2"/>
      <c r="H2" s="2"/>
      <c r="I2" s="2"/>
      <c r="J2" s="2"/>
      <c r="K2" s="2"/>
    </row>
    <row r="3" spans="1:11" ht="18.75">
      <c r="A3" s="6"/>
      <c r="B3" s="6"/>
      <c r="C3" s="6"/>
      <c r="D3" s="6"/>
      <c r="E3" s="7"/>
      <c r="F3" s="7"/>
      <c r="G3" s="7"/>
      <c r="H3" s="7"/>
      <c r="I3" s="2"/>
      <c r="J3" s="2"/>
      <c r="K3" s="2"/>
    </row>
    <row r="4" spans="1:11" ht="27.75">
      <c r="A4" s="148" t="s">
        <v>131</v>
      </c>
      <c r="B4" s="149"/>
      <c r="C4" s="149"/>
      <c r="D4" s="150"/>
      <c r="E4" s="8" t="s">
        <v>25</v>
      </c>
      <c r="F4" s="86" t="s">
        <v>79</v>
      </c>
      <c r="G4" s="87" t="s">
        <v>132</v>
      </c>
      <c r="H4" s="88" t="s">
        <v>81</v>
      </c>
      <c r="I4" s="2"/>
      <c r="J4" s="10"/>
      <c r="K4" s="2"/>
    </row>
    <row r="5" spans="1:11" ht="25.5">
      <c r="A5" s="151"/>
      <c r="B5" s="152"/>
      <c r="C5" s="152"/>
      <c r="D5" s="153"/>
      <c r="E5" s="9" t="s">
        <v>27</v>
      </c>
      <c r="F5" s="94" t="s">
        <v>133</v>
      </c>
      <c r="G5" s="94" t="s">
        <v>134</v>
      </c>
      <c r="H5" s="94" t="s">
        <v>134</v>
      </c>
      <c r="I5" s="2"/>
      <c r="J5" s="10"/>
      <c r="K5" s="2"/>
    </row>
    <row r="6" spans="1:11" ht="25.5">
      <c r="A6" s="151"/>
      <c r="B6" s="152"/>
      <c r="C6" s="152"/>
      <c r="D6" s="153"/>
      <c r="E6" s="14" t="s">
        <v>135</v>
      </c>
      <c r="F6" s="94" t="s">
        <v>136</v>
      </c>
      <c r="G6" s="94" t="s">
        <v>136</v>
      </c>
      <c r="H6" s="94" t="s">
        <v>137</v>
      </c>
      <c r="I6" s="65"/>
      <c r="J6" s="12"/>
      <c r="K6" s="12"/>
    </row>
    <row r="7" spans="1:11" ht="25.5">
      <c r="A7" s="154"/>
      <c r="B7" s="155"/>
      <c r="C7" s="155"/>
      <c r="D7" s="156"/>
      <c r="E7" s="14" t="s">
        <v>87</v>
      </c>
      <c r="F7" s="89" t="s">
        <v>138</v>
      </c>
      <c r="G7" s="89" t="s">
        <v>139</v>
      </c>
      <c r="H7" s="89" t="s">
        <v>140</v>
      </c>
      <c r="I7" s="12"/>
      <c r="J7" s="12"/>
      <c r="K7" s="12"/>
    </row>
    <row r="8" spans="1:11" ht="84" customHeight="1">
      <c r="A8" s="157" t="s">
        <v>33</v>
      </c>
      <c r="B8" s="158"/>
      <c r="C8" s="158"/>
      <c r="D8" s="159"/>
      <c r="E8" s="16" t="s">
        <v>34</v>
      </c>
      <c r="F8" s="157" t="s">
        <v>141</v>
      </c>
      <c r="G8" s="158"/>
      <c r="H8" s="159"/>
      <c r="I8" s="66" t="s">
        <v>36</v>
      </c>
      <c r="J8" s="18"/>
      <c r="K8" s="18"/>
    </row>
    <row r="9" spans="1:11" ht="99.75" customHeight="1">
      <c r="A9" s="114" t="s">
        <v>142</v>
      </c>
      <c r="B9" s="115"/>
      <c r="C9" s="115"/>
      <c r="D9" s="116"/>
      <c r="E9" s="15">
        <v>10</v>
      </c>
      <c r="F9" s="76">
        <v>4</v>
      </c>
      <c r="G9" s="76">
        <v>3</v>
      </c>
      <c r="H9" s="76">
        <v>3</v>
      </c>
      <c r="I9" s="125">
        <f>IF(F9="N/A",4,F9)+IF(G9="N/A",3,G9)+IF(H9="N/A",3,H9)</f>
        <v>10</v>
      </c>
      <c r="J9" s="10"/>
      <c r="K9" s="6"/>
    </row>
    <row r="10" spans="1:11" ht="18">
      <c r="A10" s="127" t="s">
        <v>38</v>
      </c>
      <c r="B10" s="128"/>
      <c r="C10" s="128"/>
      <c r="D10" s="128"/>
      <c r="E10" s="129"/>
      <c r="F10" s="99"/>
      <c r="G10" s="99"/>
      <c r="H10" s="99"/>
      <c r="I10" s="126"/>
      <c r="J10" s="6"/>
      <c r="K10" s="6"/>
    </row>
    <row r="11" spans="1:11" ht="87" customHeight="1">
      <c r="A11" s="114" t="s">
        <v>143</v>
      </c>
      <c r="B11" s="115"/>
      <c r="C11" s="115"/>
      <c r="D11" s="116"/>
      <c r="E11" s="19">
        <v>10</v>
      </c>
      <c r="F11" s="76">
        <v>4</v>
      </c>
      <c r="G11" s="76">
        <v>0</v>
      </c>
      <c r="H11" s="76">
        <v>3</v>
      </c>
      <c r="I11" s="125">
        <f>IF(F11="N/A",4,F11)+IF(G11="N/A",3,G11)+IF(H11="N/A",3,H11)</f>
        <v>7</v>
      </c>
      <c r="J11" s="6"/>
      <c r="K11" s="6"/>
    </row>
    <row r="12" spans="1:11" ht="54.75">
      <c r="A12" s="127" t="s">
        <v>41</v>
      </c>
      <c r="B12" s="128"/>
      <c r="C12" s="128"/>
      <c r="D12" s="128"/>
      <c r="E12" s="129"/>
      <c r="F12" s="99"/>
      <c r="G12" s="99" t="s">
        <v>144</v>
      </c>
      <c r="H12" s="99"/>
      <c r="I12" s="126"/>
      <c r="J12" s="6"/>
      <c r="K12" s="6"/>
    </row>
    <row r="13" spans="1:11" ht="56.25" customHeight="1">
      <c r="A13" s="122" t="s">
        <v>145</v>
      </c>
      <c r="B13" s="123"/>
      <c r="C13" s="123"/>
      <c r="D13" s="124"/>
      <c r="E13" s="19">
        <v>10</v>
      </c>
      <c r="F13" s="76">
        <v>4</v>
      </c>
      <c r="G13" s="76">
        <v>3</v>
      </c>
      <c r="H13" s="76">
        <v>3</v>
      </c>
      <c r="I13" s="125">
        <f>IF(F13="N/A",4,F13)+IF(G13="N/A",3,G13)+IF(H13="N/A",3,H13)</f>
        <v>10</v>
      </c>
      <c r="J13" s="6"/>
      <c r="K13" s="6"/>
    </row>
    <row r="14" spans="1:11" ht="18">
      <c r="A14" s="127" t="s">
        <v>43</v>
      </c>
      <c r="B14" s="128"/>
      <c r="C14" s="128"/>
      <c r="D14" s="128"/>
      <c r="E14" s="129"/>
      <c r="F14" s="99"/>
      <c r="G14" s="99"/>
      <c r="H14" s="99"/>
      <c r="I14" s="126"/>
      <c r="J14" s="6"/>
      <c r="K14" s="6"/>
    </row>
    <row r="15" spans="1:11" ht="78" customHeight="1">
      <c r="A15" s="122" t="s">
        <v>146</v>
      </c>
      <c r="B15" s="123"/>
      <c r="C15" s="123"/>
      <c r="D15" s="124"/>
      <c r="E15" s="19">
        <v>10</v>
      </c>
      <c r="F15" s="76" t="s">
        <v>40</v>
      </c>
      <c r="G15" s="76">
        <v>0</v>
      </c>
      <c r="H15" s="76">
        <v>3</v>
      </c>
      <c r="I15" s="125">
        <f>IF(F15="N/A",4,F15)+IF(G15="N/A",3,G15)+IF(H15="N/A",3,H15)</f>
        <v>7</v>
      </c>
      <c r="J15" s="2"/>
      <c r="K15" s="2"/>
    </row>
    <row r="16" spans="1:11" ht="68.25">
      <c r="A16" s="127" t="s">
        <v>45</v>
      </c>
      <c r="B16" s="128"/>
      <c r="C16" s="128"/>
      <c r="D16" s="128"/>
      <c r="E16" s="129"/>
      <c r="F16" s="99"/>
      <c r="G16" s="99" t="s">
        <v>147</v>
      </c>
      <c r="H16" s="99" t="s">
        <v>148</v>
      </c>
      <c r="I16" s="126"/>
      <c r="J16" s="2"/>
      <c r="K16" s="2"/>
    </row>
    <row r="17" spans="1:11" ht="75" customHeight="1">
      <c r="A17" s="122" t="s">
        <v>149</v>
      </c>
      <c r="B17" s="123"/>
      <c r="C17" s="123"/>
      <c r="D17" s="124"/>
      <c r="E17" s="19">
        <v>10</v>
      </c>
      <c r="F17" s="76" t="s">
        <v>40</v>
      </c>
      <c r="G17" s="76">
        <v>3</v>
      </c>
      <c r="H17" s="76">
        <v>3</v>
      </c>
      <c r="I17" s="125">
        <f>IF(F17="N/A",4,F17)+IF(G17="N/A",3,G17)+IF(H17="N/A",3,H17)</f>
        <v>10</v>
      </c>
      <c r="J17" s="2"/>
      <c r="K17" s="2"/>
    </row>
    <row r="18" spans="1:11" ht="16.5">
      <c r="A18" s="127" t="s">
        <v>47</v>
      </c>
      <c r="B18" s="128"/>
      <c r="C18" s="128"/>
      <c r="D18" s="128"/>
      <c r="E18" s="129"/>
      <c r="F18" s="99"/>
      <c r="G18" s="99"/>
      <c r="H18" s="99"/>
      <c r="I18" s="126"/>
      <c r="J18" s="2"/>
      <c r="K18" s="2"/>
    </row>
    <row r="19" spans="1:11" ht="73.5" customHeight="1">
      <c r="A19" s="122" t="s">
        <v>150</v>
      </c>
      <c r="B19" s="123"/>
      <c r="C19" s="123"/>
      <c r="D19" s="124"/>
      <c r="E19" s="19">
        <v>10</v>
      </c>
      <c r="F19" s="76">
        <v>0</v>
      </c>
      <c r="G19" s="76">
        <v>0</v>
      </c>
      <c r="H19" s="76">
        <v>3</v>
      </c>
      <c r="I19" s="125">
        <f>IF(F19="N/A",4,F19)+IF(G19="N/A",3,G19)+IF(H19="N/A",3,H19)</f>
        <v>3</v>
      </c>
      <c r="J19" s="2"/>
      <c r="K19" s="2"/>
    </row>
    <row r="20" spans="1:11" ht="41.25">
      <c r="A20" s="127" t="s">
        <v>70</v>
      </c>
      <c r="B20" s="128"/>
      <c r="C20" s="128"/>
      <c r="D20" s="128"/>
      <c r="E20" s="129"/>
      <c r="F20" s="99" t="s">
        <v>151</v>
      </c>
      <c r="G20" s="99" t="s">
        <v>152</v>
      </c>
      <c r="H20" s="99"/>
      <c r="I20" s="126"/>
      <c r="J20" s="2"/>
      <c r="K20" s="2"/>
    </row>
    <row r="21" spans="1:11" ht="56.25" customHeight="1">
      <c r="A21" s="122" t="s">
        <v>153</v>
      </c>
      <c r="B21" s="123"/>
      <c r="C21" s="123"/>
      <c r="D21" s="124"/>
      <c r="E21" s="19">
        <v>10</v>
      </c>
      <c r="F21" s="76">
        <v>4</v>
      </c>
      <c r="G21" s="76">
        <v>3</v>
      </c>
      <c r="H21" s="76">
        <v>3</v>
      </c>
      <c r="I21" s="125">
        <f>IF(F21="N/A",4,F21)+IF(G21="N/A",3,G21)+IF(H21="N/A",3,H21)</f>
        <v>10</v>
      </c>
      <c r="J21" s="2"/>
      <c r="K21" s="2"/>
    </row>
    <row r="22" spans="1:11" ht="16.5">
      <c r="A22" s="127" t="s">
        <v>110</v>
      </c>
      <c r="B22" s="128"/>
      <c r="C22" s="128"/>
      <c r="D22" s="128"/>
      <c r="E22" s="129"/>
      <c r="F22" s="99"/>
      <c r="G22" s="99" t="s">
        <v>154</v>
      </c>
      <c r="H22" s="99"/>
      <c r="I22" s="126"/>
      <c r="J22" s="2"/>
      <c r="K22" s="2"/>
    </row>
    <row r="23" spans="1:11" ht="72.75" customHeight="1">
      <c r="A23" s="122" t="s">
        <v>155</v>
      </c>
      <c r="B23" s="123"/>
      <c r="C23" s="123"/>
      <c r="D23" s="124"/>
      <c r="E23" s="15">
        <v>10</v>
      </c>
      <c r="F23" s="76">
        <v>0</v>
      </c>
      <c r="G23" s="76">
        <v>0</v>
      </c>
      <c r="H23" s="76">
        <v>0</v>
      </c>
      <c r="I23" s="125">
        <f>IF(F23="N/A",4,F23)+IF(G23="N/A",3,G23)+IF(H23="N/A",3,H23)</f>
        <v>0</v>
      </c>
      <c r="J23" s="2"/>
      <c r="K23" s="2"/>
    </row>
    <row r="24" spans="1:11" ht="206.25">
      <c r="A24" s="127" t="s">
        <v>112</v>
      </c>
      <c r="B24" s="128"/>
      <c r="C24" s="128"/>
      <c r="D24" s="128"/>
      <c r="E24" s="129"/>
      <c r="F24" s="99"/>
      <c r="G24" s="99" t="s">
        <v>156</v>
      </c>
      <c r="H24" s="99" t="s">
        <v>157</v>
      </c>
      <c r="I24" s="126"/>
      <c r="J24" s="2"/>
      <c r="K24" s="2"/>
    </row>
    <row r="25" spans="1:11" ht="36" customHeight="1">
      <c r="A25" s="122" t="s">
        <v>158</v>
      </c>
      <c r="B25" s="123"/>
      <c r="C25" s="123"/>
      <c r="D25" s="124"/>
      <c r="E25" s="15">
        <v>10</v>
      </c>
      <c r="F25" s="76" t="s">
        <v>40</v>
      </c>
      <c r="G25" s="76">
        <v>3</v>
      </c>
      <c r="H25" s="76">
        <v>3</v>
      </c>
      <c r="I25" s="125">
        <f>IF(F25="N/A",4,F25)+IF(G25="N/A",3,G25)+IF(H25="N/A",3,H25)</f>
        <v>10</v>
      </c>
      <c r="J25" s="2"/>
      <c r="K25" s="2"/>
    </row>
    <row r="26" spans="1:11" ht="16.5">
      <c r="A26" s="127" t="s">
        <v>114</v>
      </c>
      <c r="B26" s="128"/>
      <c r="C26" s="128"/>
      <c r="D26" s="128"/>
      <c r="E26" s="129"/>
      <c r="F26" s="99"/>
      <c r="G26" s="99" t="s">
        <v>159</v>
      </c>
      <c r="H26" s="99"/>
      <c r="I26" s="126"/>
      <c r="J26" s="2"/>
      <c r="K26" s="2"/>
    </row>
    <row r="27" spans="1:11" ht="30" customHeight="1">
      <c r="A27" s="122" t="s">
        <v>160</v>
      </c>
      <c r="B27" s="123"/>
      <c r="C27" s="123"/>
      <c r="D27" s="124"/>
      <c r="E27" s="15">
        <v>10</v>
      </c>
      <c r="F27" s="76" t="s">
        <v>40</v>
      </c>
      <c r="G27" s="76">
        <v>3</v>
      </c>
      <c r="H27" s="76">
        <v>3</v>
      </c>
      <c r="I27" s="125">
        <f>IF(F27="N/A",4,F27)+IF(G27="N/A",3,G27)+IF(H27="N/A",3,H27)</f>
        <v>10</v>
      </c>
      <c r="J27" s="2"/>
      <c r="K27" s="2"/>
    </row>
    <row r="28" spans="1:11" ht="16.5">
      <c r="A28" s="127" t="s">
        <v>116</v>
      </c>
      <c r="B28" s="128"/>
      <c r="C28" s="128"/>
      <c r="D28" s="128"/>
      <c r="E28" s="129"/>
      <c r="F28" s="99"/>
      <c r="G28" s="99" t="s">
        <v>159</v>
      </c>
      <c r="H28" s="99"/>
      <c r="I28" s="126"/>
      <c r="J28" s="2"/>
      <c r="K28" s="2"/>
    </row>
    <row r="29" spans="1:11" ht="39.75" customHeight="1">
      <c r="A29" s="122" t="s">
        <v>161</v>
      </c>
      <c r="B29" s="123"/>
      <c r="C29" s="123"/>
      <c r="D29" s="124"/>
      <c r="E29" s="63">
        <v>10</v>
      </c>
      <c r="F29" s="76">
        <v>4</v>
      </c>
      <c r="G29" s="76" t="s">
        <v>40</v>
      </c>
      <c r="H29" s="76" t="s">
        <v>40</v>
      </c>
      <c r="I29" s="125">
        <f>IF(F29="N/A",4,F29)+IF(G29="N/A",3,G29)+IF(H29="N/A",3,H29)</f>
        <v>10</v>
      </c>
      <c r="J29" s="2"/>
      <c r="K29" s="2"/>
    </row>
    <row r="30" spans="1:11" ht="54.75">
      <c r="A30" s="127" t="s">
        <v>118</v>
      </c>
      <c r="B30" s="128"/>
      <c r="C30" s="128"/>
      <c r="D30" s="128"/>
      <c r="E30" s="129"/>
      <c r="F30" s="99"/>
      <c r="G30" s="99" t="s">
        <v>162</v>
      </c>
      <c r="H30" s="99" t="s">
        <v>163</v>
      </c>
      <c r="I30" s="126"/>
      <c r="J30" s="2"/>
      <c r="K30" s="2"/>
    </row>
    <row r="31" spans="1:11" ht="105.75" customHeight="1">
      <c r="A31" s="122" t="s">
        <v>164</v>
      </c>
      <c r="B31" s="123"/>
      <c r="C31" s="123"/>
      <c r="D31" s="124"/>
      <c r="E31" s="15">
        <v>10</v>
      </c>
      <c r="F31" s="76">
        <v>0</v>
      </c>
      <c r="G31" s="76">
        <v>0</v>
      </c>
      <c r="H31" s="76">
        <v>3</v>
      </c>
      <c r="I31" s="125">
        <f>IF(F31="N/A",4,F31)+IF(G31="N/A",3,G31)+IF(H31="N/A",3,H31)</f>
        <v>3</v>
      </c>
      <c r="J31" s="2"/>
      <c r="K31" s="2"/>
    </row>
    <row r="32" spans="1:11" ht="54.75">
      <c r="A32" s="127" t="s">
        <v>120</v>
      </c>
      <c r="B32" s="128"/>
      <c r="C32" s="128"/>
      <c r="D32" s="128"/>
      <c r="E32" s="129"/>
      <c r="F32" s="99"/>
      <c r="G32" s="99" t="s">
        <v>165</v>
      </c>
      <c r="H32" s="99" t="s">
        <v>166</v>
      </c>
      <c r="I32" s="126"/>
      <c r="J32" s="2"/>
      <c r="K32" s="2"/>
    </row>
    <row r="33" spans="1:11" ht="81.75" customHeight="1">
      <c r="A33" s="122" t="s">
        <v>167</v>
      </c>
      <c r="B33" s="123"/>
      <c r="C33" s="123"/>
      <c r="D33" s="124"/>
      <c r="E33" s="15">
        <v>10</v>
      </c>
      <c r="F33" s="76">
        <v>0</v>
      </c>
      <c r="G33" s="76">
        <v>0</v>
      </c>
      <c r="H33" s="76">
        <v>0</v>
      </c>
      <c r="I33" s="125">
        <f>IF(F33="N/A",4,F33)+IF(G33="N/A",3,G33)+IF(H33="N/A",3,H33)</f>
        <v>0</v>
      </c>
      <c r="J33" s="2"/>
      <c r="K33" s="2"/>
    </row>
    <row r="34" spans="1:11" ht="27.75">
      <c r="A34" s="127" t="s">
        <v>123</v>
      </c>
      <c r="B34" s="128"/>
      <c r="C34" s="128"/>
      <c r="D34" s="128"/>
      <c r="E34" s="129"/>
      <c r="F34" s="99" t="s">
        <v>168</v>
      </c>
      <c r="G34" s="99" t="s">
        <v>169</v>
      </c>
      <c r="H34" s="99" t="s">
        <v>169</v>
      </c>
      <c r="I34" s="126"/>
      <c r="J34" s="2"/>
      <c r="K34" s="2"/>
    </row>
    <row r="35" spans="1:11" ht="16.5">
      <c r="A35" s="119" t="s">
        <v>170</v>
      </c>
      <c r="B35" s="120"/>
      <c r="C35" s="120"/>
      <c r="D35" s="121"/>
      <c r="E35" s="68">
        <f>E9+E11+E13+E15+E17+E19+E21+E23+E25+E27+E29+E31+E33+E38+E40+E42+E44</f>
        <v>170</v>
      </c>
      <c r="F35" s="2"/>
      <c r="G35" s="2"/>
      <c r="H35" s="69" t="s">
        <v>49</v>
      </c>
      <c r="I35" s="68">
        <f>SUM(I9:I34)+SUM(I38:I45)</f>
        <v>130</v>
      </c>
      <c r="J35" s="2"/>
      <c r="K35" s="2"/>
    </row>
    <row r="36" spans="1:11" ht="16.5">
      <c r="A36" s="133" t="s">
        <v>50</v>
      </c>
      <c r="B36" s="133"/>
      <c r="C36" s="133"/>
      <c r="D36" s="133"/>
      <c r="E36" s="133"/>
      <c r="F36" s="133"/>
      <c r="G36" s="133"/>
      <c r="H36" s="133"/>
      <c r="I36" s="133"/>
      <c r="J36" s="2"/>
      <c r="K36" s="2"/>
    </row>
    <row r="37" spans="1:11" ht="49.5">
      <c r="A37" s="158" t="s">
        <v>171</v>
      </c>
      <c r="B37" s="158"/>
      <c r="C37" s="158"/>
      <c r="D37" s="159"/>
      <c r="E37" s="16" t="s">
        <v>34</v>
      </c>
      <c r="F37" s="172" t="s">
        <v>172</v>
      </c>
      <c r="G37" s="173"/>
      <c r="H37" s="174"/>
      <c r="I37" s="67" t="s">
        <v>36</v>
      </c>
      <c r="J37" s="2"/>
      <c r="K37" s="2"/>
    </row>
    <row r="38" spans="1:11" ht="112.5" customHeight="1">
      <c r="A38" s="123" t="s">
        <v>173</v>
      </c>
      <c r="B38" s="123"/>
      <c r="C38" s="123"/>
      <c r="D38" s="124"/>
      <c r="E38" s="11">
        <v>10</v>
      </c>
      <c r="F38" s="117" t="s">
        <v>40</v>
      </c>
      <c r="G38" s="163"/>
      <c r="H38" s="118"/>
      <c r="I38" s="125">
        <f>IF(F38="N/A",10,F38)</f>
        <v>10</v>
      </c>
      <c r="J38" s="2"/>
      <c r="K38" s="2"/>
    </row>
    <row r="39" spans="1:11" ht="16.5">
      <c r="A39" s="127" t="s">
        <v>174</v>
      </c>
      <c r="B39" s="128"/>
      <c r="C39" s="128"/>
      <c r="D39" s="128"/>
      <c r="E39" s="129"/>
      <c r="F39" s="130"/>
      <c r="G39" s="131"/>
      <c r="H39" s="132"/>
      <c r="I39" s="126"/>
      <c r="J39" s="2"/>
      <c r="K39" s="2"/>
    </row>
    <row r="40" spans="1:11" ht="89.25" customHeight="1">
      <c r="A40" s="123" t="s">
        <v>175</v>
      </c>
      <c r="B40" s="123"/>
      <c r="C40" s="123"/>
      <c r="D40" s="124"/>
      <c r="E40" s="11">
        <v>10</v>
      </c>
      <c r="F40" s="117" t="s">
        <v>40</v>
      </c>
      <c r="G40" s="163"/>
      <c r="H40" s="118"/>
      <c r="I40" s="125">
        <f>IF(F40="N/A",10,F40)</f>
        <v>10</v>
      </c>
      <c r="J40" s="2"/>
      <c r="K40" s="2"/>
    </row>
    <row r="41" spans="1:11" ht="16.5">
      <c r="A41" s="127" t="s">
        <v>174</v>
      </c>
      <c r="B41" s="128"/>
      <c r="C41" s="128"/>
      <c r="D41" s="128"/>
      <c r="E41" s="129"/>
      <c r="F41" s="130"/>
      <c r="G41" s="131"/>
      <c r="H41" s="132"/>
      <c r="I41" s="126"/>
      <c r="J41" s="2"/>
      <c r="K41" s="2"/>
    </row>
    <row r="42" spans="1:11" ht="49.5" customHeight="1">
      <c r="A42" s="123" t="s">
        <v>176</v>
      </c>
      <c r="B42" s="123"/>
      <c r="C42" s="123"/>
      <c r="D42" s="124"/>
      <c r="E42" s="11">
        <v>10</v>
      </c>
      <c r="F42" s="117" t="s">
        <v>40</v>
      </c>
      <c r="G42" s="163"/>
      <c r="H42" s="118"/>
      <c r="I42" s="125">
        <f>IF(F42="N/A",10,F42)</f>
        <v>10</v>
      </c>
      <c r="J42" s="2"/>
      <c r="K42" s="2"/>
    </row>
    <row r="43" spans="1:11" ht="16.5">
      <c r="A43" s="127" t="s">
        <v>174</v>
      </c>
      <c r="B43" s="128"/>
      <c r="C43" s="128"/>
      <c r="D43" s="128"/>
      <c r="E43" s="129"/>
      <c r="F43" s="130"/>
      <c r="G43" s="131"/>
      <c r="H43" s="132"/>
      <c r="I43" s="126"/>
      <c r="J43" s="2"/>
      <c r="K43" s="2"/>
    </row>
    <row r="44" spans="1:11" ht="98.25" customHeight="1">
      <c r="A44" s="122" t="s">
        <v>177</v>
      </c>
      <c r="B44" s="123"/>
      <c r="C44" s="123"/>
      <c r="D44" s="124"/>
      <c r="E44" s="21">
        <v>10</v>
      </c>
      <c r="F44" s="117" t="s">
        <v>40</v>
      </c>
      <c r="G44" s="163"/>
      <c r="H44" s="118"/>
      <c r="I44" s="125">
        <f>IF(F44="N/A",10,F44)</f>
        <v>10</v>
      </c>
      <c r="J44" s="2"/>
      <c r="K44" s="2"/>
    </row>
    <row r="45" spans="1:11" ht="16.5">
      <c r="A45" s="127" t="s">
        <v>174</v>
      </c>
      <c r="B45" s="128"/>
      <c r="C45" s="128"/>
      <c r="D45" s="128"/>
      <c r="E45" s="129"/>
      <c r="F45" s="130"/>
      <c r="G45" s="131"/>
      <c r="H45" s="132"/>
      <c r="I45" s="126"/>
      <c r="J45" s="2"/>
      <c r="K45" s="2"/>
    </row>
    <row r="46" spans="1:11" ht="16.5">
      <c r="J46" s="2"/>
      <c r="K46" s="2"/>
    </row>
    <row r="47" spans="1:11" ht="16.5">
      <c r="A47" s="133" t="s">
        <v>50</v>
      </c>
      <c r="B47" s="133"/>
      <c r="C47" s="133"/>
      <c r="D47" s="133"/>
      <c r="E47" s="133"/>
      <c r="F47" s="133"/>
      <c r="G47" s="133"/>
      <c r="H47" s="133"/>
      <c r="I47" s="133"/>
      <c r="J47" s="10"/>
      <c r="K47" s="2"/>
    </row>
    <row r="48" spans="1:11" ht="27">
      <c r="A48" s="7"/>
      <c r="B48" s="7"/>
      <c r="C48" s="7"/>
      <c r="D48" s="24" t="s">
        <v>51</v>
      </c>
      <c r="E48" s="167"/>
      <c r="F48" s="168"/>
      <c r="G48" s="87"/>
      <c r="H48" s="87"/>
      <c r="I48" s="178" t="s">
        <v>52</v>
      </c>
      <c r="J48" s="2"/>
      <c r="K48" s="2"/>
    </row>
    <row r="49" spans="1:11" ht="18.75">
      <c r="A49" s="7"/>
      <c r="B49" s="7"/>
      <c r="C49" s="7"/>
      <c r="D49" s="24" t="s">
        <v>53</v>
      </c>
      <c r="E49" s="117"/>
      <c r="F49" s="118"/>
      <c r="G49" s="76"/>
      <c r="H49" s="76"/>
      <c r="I49" s="179"/>
      <c r="J49" s="2"/>
      <c r="K49" s="2"/>
    </row>
    <row r="50" spans="1:11" ht="16.5">
      <c r="A50" s="169" t="s">
        <v>54</v>
      </c>
      <c r="B50" s="170"/>
      <c r="C50" s="170"/>
      <c r="D50" s="171"/>
      <c r="E50" s="172" t="s">
        <v>55</v>
      </c>
      <c r="F50" s="173"/>
      <c r="G50" s="173"/>
      <c r="H50" s="174"/>
      <c r="I50" s="180"/>
      <c r="J50" s="2"/>
      <c r="K50" s="2"/>
    </row>
    <row r="51" spans="1:11" ht="24.6" customHeight="1">
      <c r="A51" s="122" t="s">
        <v>178</v>
      </c>
      <c r="B51" s="123"/>
      <c r="C51" s="123"/>
      <c r="D51" s="124"/>
      <c r="E51" s="117"/>
      <c r="F51" s="118"/>
      <c r="G51" s="93"/>
      <c r="H51" s="92"/>
      <c r="I51" s="100"/>
      <c r="J51" s="2"/>
      <c r="K51" s="2"/>
    </row>
    <row r="52" spans="1:11" ht="24.6" customHeight="1">
      <c r="A52" s="122" t="s">
        <v>179</v>
      </c>
      <c r="B52" s="123"/>
      <c r="C52" s="123"/>
      <c r="D52" s="124"/>
      <c r="E52" s="117"/>
      <c r="F52" s="118"/>
      <c r="G52" s="93"/>
      <c r="H52" s="92"/>
      <c r="I52" s="100"/>
      <c r="J52" s="2"/>
      <c r="K52" s="2"/>
    </row>
    <row r="53" spans="1:11" ht="24.6" customHeight="1">
      <c r="A53" s="122" t="s">
        <v>180</v>
      </c>
      <c r="B53" s="123"/>
      <c r="C53" s="123"/>
      <c r="D53" s="124"/>
      <c r="E53" s="117"/>
      <c r="F53" s="118"/>
      <c r="G53" s="93"/>
      <c r="H53" s="92"/>
      <c r="I53" s="100"/>
      <c r="J53" s="2"/>
      <c r="K53" s="2"/>
    </row>
    <row r="54" spans="1:11" ht="24.6" customHeight="1">
      <c r="A54" s="122" t="s">
        <v>181</v>
      </c>
      <c r="B54" s="123"/>
      <c r="C54" s="123"/>
      <c r="D54" s="124"/>
      <c r="E54" s="117"/>
      <c r="F54" s="118"/>
      <c r="G54" s="93"/>
      <c r="H54" s="93"/>
      <c r="I54" s="100"/>
      <c r="J54" s="2"/>
      <c r="K54" s="2"/>
    </row>
    <row r="55" spans="1:11" ht="16.5">
      <c r="A55" s="122" t="s">
        <v>182</v>
      </c>
      <c r="B55" s="123"/>
      <c r="C55" s="123"/>
      <c r="D55" s="124"/>
      <c r="E55" s="117"/>
      <c r="F55" s="118"/>
      <c r="G55" s="93"/>
      <c r="H55" s="93"/>
      <c r="I55" s="100"/>
      <c r="J55" s="2"/>
      <c r="K55" s="2"/>
    </row>
    <row r="56" spans="1:11" ht="16.5">
      <c r="A56" s="122" t="s">
        <v>183</v>
      </c>
      <c r="B56" s="123"/>
      <c r="C56" s="123"/>
      <c r="D56" s="124"/>
      <c r="E56" s="176"/>
      <c r="F56" s="177"/>
      <c r="G56" s="93"/>
      <c r="H56" s="93"/>
      <c r="I56" s="100"/>
      <c r="J56" s="2"/>
      <c r="K56" s="2"/>
    </row>
    <row r="57" spans="1:11" ht="24.6" customHeight="1">
      <c r="A57" s="122" t="s">
        <v>184</v>
      </c>
      <c r="B57" s="123"/>
      <c r="C57" s="123"/>
      <c r="D57" s="124"/>
      <c r="E57" s="117"/>
      <c r="F57" s="118"/>
      <c r="G57" s="93"/>
      <c r="H57" s="93"/>
      <c r="I57" s="100"/>
      <c r="J57" s="2"/>
      <c r="K57" s="2"/>
    </row>
    <row r="58" spans="1:11" ht="16.5">
      <c r="A58" s="183"/>
      <c r="B58" s="183"/>
      <c r="C58" s="1"/>
      <c r="D58" s="1"/>
      <c r="E58" s="3"/>
      <c r="F58" s="1"/>
      <c r="G58" s="1"/>
      <c r="H58" s="1"/>
      <c r="I58" s="2"/>
      <c r="J58" s="2"/>
      <c r="K58" s="2"/>
    </row>
    <row r="59" spans="1:11" ht="16.5">
      <c r="A59" s="184"/>
      <c r="B59" s="184"/>
      <c r="C59" s="1"/>
      <c r="D59" s="1"/>
      <c r="E59" s="3"/>
      <c r="F59" s="1"/>
      <c r="G59" s="1"/>
      <c r="H59" s="1"/>
      <c r="I59" s="2"/>
      <c r="J59" s="2"/>
      <c r="K59" s="2"/>
    </row>
    <row r="60" spans="1:11" ht="16.5">
      <c r="A60" s="184"/>
      <c r="B60" s="184"/>
      <c r="C60" s="1"/>
      <c r="D60" s="1"/>
      <c r="E60" s="3"/>
      <c r="F60" s="1"/>
      <c r="G60" s="1"/>
      <c r="H60" s="1"/>
      <c r="I60" s="2"/>
      <c r="J60" s="2"/>
      <c r="K60" s="2"/>
    </row>
    <row r="61" spans="1:11" ht="16.5">
      <c r="A61" s="184"/>
      <c r="B61" s="184"/>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9:D9"/>
    <mergeCell ref="I9:I10"/>
    <mergeCell ref="A10:E10"/>
    <mergeCell ref="A11:D11"/>
    <mergeCell ref="I11:I12"/>
    <mergeCell ref="A12:E12"/>
    <mergeCell ref="B1:E1"/>
    <mergeCell ref="A2:B2"/>
    <mergeCell ref="A4:D7"/>
    <mergeCell ref="A8:D8"/>
    <mergeCell ref="F8:H8"/>
    <mergeCell ref="A15:D15"/>
    <mergeCell ref="I15:I16"/>
    <mergeCell ref="A16:E16"/>
    <mergeCell ref="A13:D13"/>
    <mergeCell ref="I13:I14"/>
    <mergeCell ref="A14:E14"/>
    <mergeCell ref="A17:D17"/>
    <mergeCell ref="I17:I18"/>
    <mergeCell ref="A18:E18"/>
    <mergeCell ref="A19:D19"/>
    <mergeCell ref="I19:I20"/>
    <mergeCell ref="A20:E20"/>
    <mergeCell ref="A21:D21"/>
    <mergeCell ref="I21:I22"/>
    <mergeCell ref="A22:E22"/>
    <mergeCell ref="A23:D23"/>
    <mergeCell ref="I23:I24"/>
    <mergeCell ref="A24:E24"/>
    <mergeCell ref="A25:D25"/>
    <mergeCell ref="I25:I26"/>
    <mergeCell ref="A26:E26"/>
    <mergeCell ref="A29:D29"/>
    <mergeCell ref="I29:I30"/>
    <mergeCell ref="A30:E30"/>
    <mergeCell ref="A27:D27"/>
    <mergeCell ref="I27:I28"/>
    <mergeCell ref="A28:E28"/>
    <mergeCell ref="A31:D31"/>
    <mergeCell ref="I31:I32"/>
    <mergeCell ref="A32:E32"/>
    <mergeCell ref="A36:I36"/>
    <mergeCell ref="A33:D33"/>
    <mergeCell ref="I33:I34"/>
    <mergeCell ref="A34:E34"/>
    <mergeCell ref="A35:D35"/>
    <mergeCell ref="A37:D37"/>
    <mergeCell ref="F37:H37"/>
    <mergeCell ref="A40:D40"/>
    <mergeCell ref="F40:H40"/>
    <mergeCell ref="I40:I41"/>
    <mergeCell ref="A41:E41"/>
    <mergeCell ref="F41:H41"/>
    <mergeCell ref="A38:D38"/>
    <mergeCell ref="F38:H38"/>
    <mergeCell ref="I38:I39"/>
    <mergeCell ref="A39:E39"/>
    <mergeCell ref="F39:H39"/>
    <mergeCell ref="A44:D44"/>
    <mergeCell ref="F44:H44"/>
    <mergeCell ref="I44:I45"/>
    <mergeCell ref="A45:E45"/>
    <mergeCell ref="F45:H45"/>
    <mergeCell ref="A42:D42"/>
    <mergeCell ref="F42:H42"/>
    <mergeCell ref="I42:I43"/>
    <mergeCell ref="A43:E43"/>
    <mergeCell ref="F43:H43"/>
    <mergeCell ref="A47:I47"/>
    <mergeCell ref="A51:D51"/>
    <mergeCell ref="E51:F51"/>
    <mergeCell ref="A52:D52"/>
    <mergeCell ref="E52:F52"/>
    <mergeCell ref="E48:F48"/>
    <mergeCell ref="I48:I50"/>
    <mergeCell ref="E49:F49"/>
    <mergeCell ref="A50:D50"/>
    <mergeCell ref="E50:H50"/>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5"/>
  <cols>
    <col min="1" max="1" width="27.5703125" bestFit="1" customWidth="1"/>
    <col min="3" max="3" width="22.42578125" customWidth="1"/>
    <col min="5" max="5" width="26.42578125" customWidth="1"/>
    <col min="7" max="7" width="28.5703125" customWidth="1"/>
    <col min="9" max="9" width="15" customWidth="1"/>
    <col min="11" max="11" width="52.85546875" bestFit="1" customWidth="1"/>
  </cols>
  <sheetData>
    <row r="1" spans="1:11">
      <c r="A1" t="s">
        <v>185</v>
      </c>
      <c r="C1" t="s">
        <v>186</v>
      </c>
      <c r="E1" t="s">
        <v>187</v>
      </c>
      <c r="G1" s="70" t="s">
        <v>188</v>
      </c>
      <c r="I1" t="s">
        <v>189</v>
      </c>
      <c r="K1" t="s">
        <v>190</v>
      </c>
    </row>
    <row r="2" spans="1:11">
      <c r="A2" t="s">
        <v>28</v>
      </c>
      <c r="C2" t="s">
        <v>28</v>
      </c>
      <c r="E2" s="70"/>
      <c r="G2" s="70"/>
      <c r="I2" s="70"/>
      <c r="J2" s="70"/>
      <c r="K2" s="70"/>
    </row>
    <row r="3" spans="1:11">
      <c r="A3" t="s">
        <v>191</v>
      </c>
      <c r="C3" t="s">
        <v>192</v>
      </c>
      <c r="E3" s="70">
        <v>4</v>
      </c>
      <c r="G3" s="70">
        <v>3</v>
      </c>
      <c r="I3" s="70">
        <v>10</v>
      </c>
      <c r="J3" s="70"/>
      <c r="K3" s="70" t="s">
        <v>193</v>
      </c>
    </row>
    <row r="4" spans="1:11">
      <c r="A4" t="s">
        <v>194</v>
      </c>
      <c r="C4" t="s">
        <v>195</v>
      </c>
      <c r="E4" s="70">
        <v>0</v>
      </c>
      <c r="G4" s="70">
        <v>0</v>
      </c>
      <c r="I4" s="70">
        <v>0</v>
      </c>
      <c r="J4" s="70"/>
      <c r="K4" s="70" t="s">
        <v>196</v>
      </c>
    </row>
    <row r="5" spans="1:11">
      <c r="A5" t="s">
        <v>83</v>
      </c>
      <c r="C5" t="s">
        <v>197</v>
      </c>
      <c r="E5" s="70" t="s">
        <v>40</v>
      </c>
      <c r="G5" s="70" t="s">
        <v>40</v>
      </c>
      <c r="I5" s="70" t="s">
        <v>40</v>
      </c>
      <c r="J5" s="70"/>
    </row>
    <row r="6" spans="1:11">
      <c r="A6" t="s">
        <v>198</v>
      </c>
      <c r="C6" t="s">
        <v>191</v>
      </c>
      <c r="K6" t="s">
        <v>199</v>
      </c>
    </row>
    <row r="7" spans="1:11">
      <c r="A7" t="s">
        <v>200</v>
      </c>
      <c r="C7" t="s">
        <v>201</v>
      </c>
      <c r="I7" t="s">
        <v>202</v>
      </c>
    </row>
    <row r="8" spans="1:11">
      <c r="A8" t="s">
        <v>203</v>
      </c>
      <c r="C8" t="s">
        <v>204</v>
      </c>
      <c r="I8" s="71"/>
      <c r="K8" s="72" t="s">
        <v>205</v>
      </c>
    </row>
    <row r="9" spans="1:11">
      <c r="A9" t="s">
        <v>206</v>
      </c>
      <c r="C9" t="s">
        <v>207</v>
      </c>
      <c r="I9" s="71" t="s">
        <v>208</v>
      </c>
      <c r="K9" s="73" t="s">
        <v>209</v>
      </c>
    </row>
    <row r="10" spans="1:11">
      <c r="I10" s="71" t="s">
        <v>210</v>
      </c>
      <c r="K10" s="72" t="s">
        <v>211</v>
      </c>
    </row>
    <row r="11" spans="1:11">
      <c r="E11" t="s">
        <v>212</v>
      </c>
      <c r="G11" t="s">
        <v>213</v>
      </c>
      <c r="I11" s="71" t="s">
        <v>214</v>
      </c>
      <c r="K11" s="73" t="s">
        <v>215</v>
      </c>
    </row>
    <row r="12" spans="1:11">
      <c r="A12" t="s">
        <v>135</v>
      </c>
      <c r="C12" t="s">
        <v>216</v>
      </c>
      <c r="E12" t="s">
        <v>28</v>
      </c>
      <c r="G12" t="s">
        <v>28</v>
      </c>
      <c r="I12" s="71" t="s">
        <v>217</v>
      </c>
      <c r="K12" s="72" t="s">
        <v>2</v>
      </c>
    </row>
    <row r="13" spans="1:11">
      <c r="A13" t="s">
        <v>28</v>
      </c>
      <c r="C13" t="s">
        <v>28</v>
      </c>
      <c r="E13" t="s">
        <v>218</v>
      </c>
      <c r="G13" t="s">
        <v>219</v>
      </c>
      <c r="I13" s="71" t="s">
        <v>220</v>
      </c>
      <c r="K13" s="73" t="s">
        <v>221</v>
      </c>
    </row>
    <row r="14" spans="1:11">
      <c r="A14" t="s">
        <v>222</v>
      </c>
      <c r="C14" t="s">
        <v>133</v>
      </c>
      <c r="E14" t="s">
        <v>223</v>
      </c>
      <c r="G14" t="s">
        <v>224</v>
      </c>
      <c r="I14" s="71" t="s">
        <v>4</v>
      </c>
      <c r="K14" s="72" t="s">
        <v>225</v>
      </c>
    </row>
    <row r="15" spans="1:11">
      <c r="A15" t="s">
        <v>226</v>
      </c>
      <c r="C15" t="s">
        <v>134</v>
      </c>
      <c r="E15" t="s">
        <v>227</v>
      </c>
      <c r="G15" t="s">
        <v>228</v>
      </c>
      <c r="I15" s="71" t="s">
        <v>229</v>
      </c>
      <c r="K15" s="73" t="s">
        <v>230</v>
      </c>
    </row>
    <row r="16" spans="1:11">
      <c r="A16" t="s">
        <v>136</v>
      </c>
      <c r="C16" t="s">
        <v>231</v>
      </c>
      <c r="E16" t="s">
        <v>232</v>
      </c>
      <c r="I16" s="71" t="s">
        <v>233</v>
      </c>
      <c r="K16" s="72" t="s">
        <v>234</v>
      </c>
    </row>
    <row r="17" spans="1:11">
      <c r="A17" t="s">
        <v>137</v>
      </c>
      <c r="C17" t="s">
        <v>235</v>
      </c>
      <c r="E17" t="s">
        <v>83</v>
      </c>
      <c r="G17" t="s">
        <v>236</v>
      </c>
      <c r="I17" s="71" t="s">
        <v>237</v>
      </c>
      <c r="K17" s="73" t="s">
        <v>238</v>
      </c>
    </row>
    <row r="18" spans="1:11">
      <c r="A18" t="s">
        <v>239</v>
      </c>
      <c r="E18" t="s">
        <v>240</v>
      </c>
      <c r="G18" t="s">
        <v>28</v>
      </c>
      <c r="I18" s="71" t="s">
        <v>241</v>
      </c>
      <c r="K18" s="72" t="s">
        <v>242</v>
      </c>
    </row>
    <row r="19" spans="1:11">
      <c r="A19" t="s">
        <v>243</v>
      </c>
      <c r="C19" t="s">
        <v>244</v>
      </c>
      <c r="E19" t="s">
        <v>245</v>
      </c>
      <c r="G19" t="s">
        <v>82</v>
      </c>
      <c r="I19" s="71" t="s">
        <v>246</v>
      </c>
      <c r="K19" s="73" t="s">
        <v>247</v>
      </c>
    </row>
    <row r="20" spans="1:11">
      <c r="A20" t="s">
        <v>248</v>
      </c>
      <c r="C20" t="s">
        <v>28</v>
      </c>
      <c r="G20" t="s">
        <v>249</v>
      </c>
      <c r="I20" s="71" t="s">
        <v>250</v>
      </c>
      <c r="K20" s="72" t="s">
        <v>251</v>
      </c>
    </row>
    <row r="21" spans="1:11">
      <c r="C21" t="s">
        <v>252</v>
      </c>
      <c r="E21" t="s">
        <v>253</v>
      </c>
      <c r="G21" t="s">
        <v>86</v>
      </c>
      <c r="K21" s="73" t="s">
        <v>254</v>
      </c>
    </row>
    <row r="22" spans="1:11">
      <c r="A22" t="s">
        <v>255</v>
      </c>
      <c r="C22" t="s">
        <v>256</v>
      </c>
      <c r="E22" t="s">
        <v>28</v>
      </c>
      <c r="G22" t="s">
        <v>257</v>
      </c>
      <c r="K22" s="72" t="s">
        <v>258</v>
      </c>
    </row>
    <row r="23" spans="1:11">
      <c r="A23" t="s">
        <v>28</v>
      </c>
      <c r="C23" t="s">
        <v>259</v>
      </c>
      <c r="E23" t="s">
        <v>84</v>
      </c>
      <c r="G23" t="s">
        <v>40</v>
      </c>
      <c r="K23" s="73" t="s">
        <v>260</v>
      </c>
    </row>
    <row r="24" spans="1:11">
      <c r="A24" t="s">
        <v>261</v>
      </c>
      <c r="C24" t="s">
        <v>262</v>
      </c>
      <c r="E24" t="s">
        <v>263</v>
      </c>
      <c r="K24" s="72" t="s">
        <v>264</v>
      </c>
    </row>
    <row r="25" spans="1:11">
      <c r="A25" t="s">
        <v>83</v>
      </c>
      <c r="C25" t="s">
        <v>265</v>
      </c>
      <c r="E25" t="s">
        <v>82</v>
      </c>
      <c r="K25" s="72" t="s">
        <v>266</v>
      </c>
    </row>
    <row r="26" spans="1:11">
      <c r="A26" t="s">
        <v>267</v>
      </c>
      <c r="C26" t="s">
        <v>268</v>
      </c>
      <c r="E26" t="s">
        <v>269</v>
      </c>
      <c r="K26" s="73" t="s">
        <v>270</v>
      </c>
    </row>
    <row r="27" spans="1:11">
      <c r="A27" s="74" t="s">
        <v>271</v>
      </c>
      <c r="C27" t="s">
        <v>272</v>
      </c>
      <c r="E27" t="s">
        <v>257</v>
      </c>
      <c r="K27" s="72" t="s">
        <v>273</v>
      </c>
    </row>
    <row r="28" spans="1:11">
      <c r="A28" t="s">
        <v>274</v>
      </c>
      <c r="C28" t="s">
        <v>275</v>
      </c>
      <c r="E28" t="s">
        <v>276</v>
      </c>
      <c r="K28" s="73" t="s">
        <v>277</v>
      </c>
    </row>
    <row r="29" spans="1:11">
      <c r="C29" t="s">
        <v>83</v>
      </c>
      <c r="E29" t="s">
        <v>83</v>
      </c>
      <c r="K29" s="72" t="s">
        <v>278</v>
      </c>
    </row>
    <row r="30" spans="1:11">
      <c r="K30" s="73" t="s">
        <v>279</v>
      </c>
    </row>
    <row r="31" spans="1:11">
      <c r="K31" s="72" t="s">
        <v>280</v>
      </c>
    </row>
    <row r="32" spans="1:11">
      <c r="K32" s="73" t="s">
        <v>281</v>
      </c>
    </row>
    <row r="33" spans="11:11">
      <c r="K33" s="72" t="s">
        <v>282</v>
      </c>
    </row>
    <row r="34" spans="11:11">
      <c r="K34" s="73" t="s">
        <v>283</v>
      </c>
    </row>
    <row r="35" spans="11:11">
      <c r="K35" s="72" t="s">
        <v>284</v>
      </c>
    </row>
    <row r="36" spans="11:11">
      <c r="K36" s="73" t="s">
        <v>285</v>
      </c>
    </row>
    <row r="37" spans="11:11">
      <c r="K37" s="72" t="s">
        <v>286</v>
      </c>
    </row>
    <row r="38" spans="11:11">
      <c r="K38" s="73" t="s">
        <v>287</v>
      </c>
    </row>
    <row r="39" spans="11:11">
      <c r="K39" s="72" t="s">
        <v>288</v>
      </c>
    </row>
    <row r="40" spans="11:11">
      <c r="K40" s="73" t="s">
        <v>289</v>
      </c>
    </row>
    <row r="41" spans="11:11">
      <c r="K41" s="72" t="s">
        <v>290</v>
      </c>
    </row>
    <row r="42" spans="11:11">
      <c r="K42" s="73" t="s">
        <v>291</v>
      </c>
    </row>
    <row r="43" spans="11:11">
      <c r="K43" s="72" t="s">
        <v>292</v>
      </c>
    </row>
    <row r="44" spans="11:11">
      <c r="K44" s="73" t="s">
        <v>293</v>
      </c>
    </row>
    <row r="45" spans="11:11">
      <c r="K45" s="72" t="s">
        <v>294</v>
      </c>
    </row>
    <row r="46" spans="11:11">
      <c r="K46" s="73" t="s">
        <v>295</v>
      </c>
    </row>
    <row r="47" spans="11:11">
      <c r="K47" s="72" t="s">
        <v>296</v>
      </c>
    </row>
    <row r="48" spans="11:11">
      <c r="K48" s="72" t="s">
        <v>297</v>
      </c>
    </row>
    <row r="49" spans="11:11">
      <c r="K49" s="73" t="s">
        <v>298</v>
      </c>
    </row>
    <row r="50" spans="11:11">
      <c r="K50" s="72" t="s">
        <v>299</v>
      </c>
    </row>
    <row r="51" spans="11:11">
      <c r="K51" s="73" t="s">
        <v>300</v>
      </c>
    </row>
    <row r="52" spans="11:11">
      <c r="K52" s="72" t="s">
        <v>301</v>
      </c>
    </row>
    <row r="53" spans="11:11">
      <c r="K53" s="73" t="s">
        <v>302</v>
      </c>
    </row>
    <row r="54" spans="11:11">
      <c r="K54" s="75" t="s">
        <v>303</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2025-12-29T19:11:40+00:00</DateandTime>
    <TaggedinAsana xmlns="ef933668-6965-47a8-8ce8-1d49a4b58b54">false</TaggedinAsana>
    <TaxCatchAll xmlns="812384cb-a50e-43db-9caf-5c3b6c9eb0f7" xsi:nil="true"/>
  </documentManagement>
</p:properties>
</file>

<file path=customXml/itemProps1.xml><?xml version="1.0" encoding="utf-8"?>
<ds:datastoreItem xmlns:ds="http://schemas.openxmlformats.org/officeDocument/2006/customXml" ds:itemID="{60E2800B-7984-40B0-B603-B621275CD637}"/>
</file>

<file path=customXml/itemProps2.xml><?xml version="1.0" encoding="utf-8"?>
<ds:datastoreItem xmlns:ds="http://schemas.openxmlformats.org/officeDocument/2006/customXml" ds:itemID="{B4ABA16D-C2D8-497B-A4B3-74B4169A3460}"/>
</file>

<file path=customXml/itemProps3.xml><?xml version="1.0" encoding="utf-8"?>
<ds:datastoreItem xmlns:ds="http://schemas.openxmlformats.org/officeDocument/2006/customXml" ds:itemID="{7EA3FF04-0A94-48F7-B0A2-3B61B992AAC3}"/>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Amy Abraham</cp:lastModifiedBy>
  <cp:revision/>
  <dcterms:created xsi:type="dcterms:W3CDTF">2025-03-14T05:17:32Z</dcterms:created>
  <dcterms:modified xsi:type="dcterms:W3CDTF">2025-06-27T16:52:43Z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